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0" documentId="8_{CB450ECF-AE58-4828-AA12-1FB71A55F1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ket" sheetId="1" r:id="rId1"/>
    <sheet name="Read 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<sst xmlns="http://schemas.openxmlformats.org/spreadsheetml/2006/main" count="444" uniqueCount="309">
  <si>
    <t>pair_id</t>
  </si>
  <si>
    <t>category</t>
  </si>
  <si>
    <t>product_name</t>
  </si>
  <si>
    <t>retailer</t>
  </si>
  <si>
    <t>price_usd</t>
  </si>
  <si>
    <t>net_contents_value</t>
  </si>
  <si>
    <t>net_contents_unit</t>
  </si>
  <si>
    <t>uses_per_package</t>
  </si>
  <si>
    <t>packaging_format</t>
  </si>
  <si>
    <t>refill_or_concentrate_flag</t>
  </si>
  <si>
    <t>url</t>
  </si>
  <si>
    <t>notes</t>
  </si>
  <si>
    <t>laundry_detergent</t>
  </si>
  <si>
    <t>Seventh Generation Free &amp; Clear Liquid Laundry Detergent 90 fl oz</t>
  </si>
  <si>
    <t>Target</t>
  </si>
  <si>
    <t>fl_oz</t>
  </si>
  <si>
    <t>60 loads</t>
  </si>
  <si>
    <t>HDPE jug with cap</t>
  </si>
  <si>
    <t>https://www.target.com/p/seventh-generation-liquid-laundry-detergent-free-38-clear-90-fl-oz/-/A-84215092</t>
  </si>
  <si>
    <t>Accessed 2026-07-17. Full-package one-time price; conventional same-brand Free &amp; Clear format.</t>
  </si>
  <si>
    <t>Seventh Generation EasyDose Free &amp; Clear Ultra-Concentrated Laundry Detergent 23.1 fl oz</t>
  </si>
  <si>
    <t>66 loads</t>
  </si>
  <si>
    <t>compact plastic auto-dose bottle</t>
  </si>
  <si>
    <t>https://www.target.com/p/seventh-generation-free-38-clear-ultra-concentrated-66-loads-laundry-detergent-8211-23-1-fl-oz/-/A-76158733</t>
  </si>
  <si>
    <t>Accessed 2026-07-17. Full-package one-time price; same-brand Free &amp; Clear concentrate and a clean matched comparison.</t>
  </si>
  <si>
    <t>coffee</t>
  </si>
  <si>
    <t>Starbucks Pike Place Roast Medium Roast K-Cup Pods 22ct</t>
  </si>
  <si>
    <t>pods</t>
  </si>
  <si>
    <t>22 cups</t>
  </si>
  <si>
    <t>plastic pods plus foil and paperboard carton</t>
  </si>
  <si>
    <t>https://www.target.com/p/starbucks-keurig-pike-place-roast-medium-roast-coffee-pods-22-k-cups/-/A-79578014</t>
  </si>
  <si>
    <t>Accessed 2026-07-17. Full-package one-time price; promotion excluded.</t>
  </si>
  <si>
    <t>Starbucks Pike Place Roast Medium Ground Coffee 12 oz</t>
  </si>
  <si>
    <t>oz</t>
  </si>
  <si>
    <t>~34 6-fl-oz cups</t>
  </si>
  <si>
    <t>laminated flexible coffee bag</t>
  </si>
  <si>
    <t>https://www.target.com/p/starbucks-medium-roast-ground-coffee-8212-pike-place-roast-8212-100-arabica-8212-1-bag-12-oz/-/A-12954151</t>
  </si>
  <si>
    <t>Accessed 2026-07-17. Full-package one-time price; estimated cup count assumes 10 g ground coffee per 6-fl-oz cup. Same roast as pod row.</t>
  </si>
  <si>
    <t>surface_cleaner</t>
  </si>
  <si>
    <t>Windex Original Blue Window and Glass Cleaner Spray 26 fl oz</t>
  </si>
  <si>
    <t>1 spray bottle</t>
  </si>
  <si>
    <t>PET trigger bottle</t>
  </si>
  <si>
    <t>https://www.target.com/p/windex-original-blue-glass-cleaner-spray-26-fl-oz/-/A-53411349</t>
  </si>
  <si>
    <t>Accessed 2026-07-17. Full-package one-time price.</t>
  </si>
  <si>
    <t>Windex Original Blue Window and Glass Cleaner Refill 67.6 fl oz</t>
  </si>
  <si>
    <t>2.6 spray-bottle fills</t>
  </si>
  <si>
    <t>large plastic refill bottle with cap</t>
  </si>
  <si>
    <t>https://www.target.com/p/windex-glass-cleaner-original-blue-refill-bottle-2l-67-6oz/-/A-12972711</t>
  </si>
  <si>
    <t>Accessed 2026-07-17. Full-package one-time price; same formula family and 67.6/26 = 2.60 nominal fills.</t>
  </si>
  <si>
    <t>beverage</t>
  </si>
  <si>
    <t>Coca-Cola Original Taste 12 fl oz cans 12-pack</t>
  </si>
  <si>
    <t>12 servings</t>
  </si>
  <si>
    <t>aluminum cans with paperboard carton</t>
  </si>
  <si>
    <t>https://www.target.com/p/coca-cola-12pk-12-fl-oz-cans/-/A-12953464</t>
  </si>
  <si>
    <t>Accessed 2026-07-17. Full 12-pack price; net contents are per container.</t>
  </si>
  <si>
    <t>Coca-Cola Original Taste 20 fl oz single bottle</t>
  </si>
  <si>
    <t>1 serving</t>
  </si>
  <si>
    <t>PET bottle with plastic cap and label</t>
  </si>
  <si>
    <t>https://www.target.com/p/coca-cola-20-fl-oz-bottle/-/A-12953529</t>
  </si>
  <si>
    <t>Accessed 2026-07-17. Full single-bottle price.</t>
  </si>
  <si>
    <t>Coca-Cola de Mexico 355 mL glass bottles 4-pack</t>
  </si>
  <si>
    <t>Walmart</t>
  </si>
  <si>
    <t>4 servings</t>
  </si>
  <si>
    <t>glass bottles with metal caps and carton</t>
  </si>
  <si>
    <t>https://www.walmart.com/ip/Coca-Cola-Cane-Sugar-Mexican-Soda-Pop-355-ml-4-Pack-Glass-Bottle/220829933</t>
  </si>
  <si>
    <t>Accessed 2026-07-17. Full 4-pack one-time price; each bottle is 355 mL (about 12.0 fl oz). Cane-sugar formulation differs from U.S. Coke, so use for packaging arithmetic only, not a clean price-demand comparison.</t>
  </si>
  <si>
    <t>razor</t>
  </si>
  <si>
    <t>Gillette Sensor3 Comfort Disposable Manual Razors 12ct</t>
  </si>
  <si>
    <t>razors</t>
  </si>
  <si>
    <t>up to 144 shaves</t>
  </si>
  <si>
    <t>plastic handle plus integrated cartridge and blister/cardboard pack</t>
  </si>
  <si>
    <t>https://www.walmart.com/ip/Gillette-Sensor3-Comfort-Men-s-Disposable-Razors-12-Razors/2912310135</t>
  </si>
  <si>
    <t>Accessed 2026-07-17. Full-package one-time price; manufacturer states up to 12 shaves per razor.</t>
  </si>
  <si>
    <t>Gillette Mach3 Handle with 10 Blade Refills</t>
  </si>
  <si>
    <t>cartridges</t>
  </si>
  <si>
    <t>up to 150 shaves</t>
  </si>
  <si>
    <t>durable handle plus replaceable cartridges and carton</t>
  </si>
  <si>
    <t>https://www.walmart.com/ip/Gillette-Mach3-Shaving-Razor-for-Men-1-Gillette-3-Blade-Razor-Handle-for-Men-s-Grooming-10-Razor-Blade-Refills-Razor-Blades-with-Lubrication-Strip/7483106556</t>
  </si>
  <si>
    <t>Accessed 2026-07-17. Full-package one-time price; manufacturer states up to 15 shaves per cartridge. Normalize by claimed shave before comparison.</t>
  </si>
  <si>
    <t>hand_soap</t>
  </si>
  <si>
    <t>Softsoap Crisp Clean Antibacterial Liquid Hand Soap Pump 11.25 fl oz</t>
  </si>
  <si>
    <t>1 pump bottle</t>
  </si>
  <si>
    <t>PET pump bottle</t>
  </si>
  <si>
    <t>https://www.walmart.com/ip/Softsoap-Antibacterial-Liquid-Hand-Soap-Crisp-Clean-11-25-Fluid-Ounce-Bottle/180160368</t>
  </si>
  <si>
    <t>Softsoap Crisp Clean Antibacterial Liquid Hand Soap Refill 50 fl oz</t>
  </si>
  <si>
    <t>4.44 pump-bottle fills</t>
  </si>
  <si>
    <t>large plastic refill bottle with pour spout</t>
  </si>
  <si>
    <t>https://www.walmart.com/ip/Softsoap-Antibacterial-Liquid-Hand-Soap-Refill-Crisp-Clean-50-Fluid-Ounce-Bottle/507822272</t>
  </si>
  <si>
    <t>Accessed 2026-07-17. Full-package one-time price; same scent/formula and 50/11.25 = 4.44 nominal fills.</t>
  </si>
  <si>
    <t>dish_soap</t>
  </si>
  <si>
    <t>Dawn Ultra Original Dishwashing Liquid 18 fl oz</t>
  </si>
  <si>
    <t>1 bottle</t>
  </si>
  <si>
    <t>PET squeeze bottle</t>
  </si>
  <si>
    <t>https://www.walmart.com/ip/Dawn-Ultra-Liquid-Dish-Soap-Dishwashing-Liquid-Grease-Removal-Original-18oz/1095568875</t>
  </si>
  <si>
    <t>Dawn Ultra Original Dishwashing Soap Refill Jug 67 fl oz</t>
  </si>
  <si>
    <t>3.72 bottle fills</t>
  </si>
  <si>
    <t>large PET refill jug with cap</t>
  </si>
  <si>
    <t>https://www.walmart.com/ip/Dawn-Ultra-Hand-Dishwashing-Liquid-Original-Regular/17465215134</t>
  </si>
  <si>
    <t>Accessed 2026-07-17. Full-package one-time price; same scent/formula and 67/18 = 3.72 nominal fills.</t>
  </si>
  <si>
    <t>paper_towels</t>
  </si>
  <si>
    <t>Bounty Select-A-Size Paper Towels, 12 Double Rolls, 82 Sheets per Roll</t>
  </si>
  <si>
    <t>rolls</t>
  </si>
  <si>
    <t>984 sheets</t>
  </si>
  <si>
    <t>paper rolls with cardboard cores and plastic overwrap</t>
  </si>
  <si>
    <t>https://www.walmart.com/ip/Bounty-Paper-Towels-Select-A-Size-White-12-Double-Rolls-82-Sheets-Per-Roll/14584700257</t>
  </si>
  <si>
    <t>Accessed 2026-07-17. Full-package one-time price; 12 x 82 = 984 sheets.</t>
  </si>
  <si>
    <t>Wettex Original Swedish Dishcloths 10-pack</t>
  </si>
  <si>
    <t>Amazon</t>
  </si>
  <si>
    <t>cloths</t>
  </si>
  <si>
    <t>multiple wash-and-reuse cycles</t>
  </si>
  <si>
    <t>cellulose-cotton cloths with retail wrap</t>
  </si>
  <si>
    <t>https://www.amazon.com/Original-10-Pack-Wettex-Superabsorbent-Dishcloth/dp/B07MX46M6H</t>
  </si>
  <si>
    <t>Accessed 2026-07-17. One-time full-package price shown in search result. Functional substitute rather than a like-for-like consumable; lifespan must be assumed separately.</t>
  </si>
  <si>
    <t>water</t>
  </si>
  <si>
    <t>Great Value Purified Drinking Water 16.9 fl oz bottles 24ct</t>
  </si>
  <si>
    <t>24 bottles</t>
  </si>
  <si>
    <t>PET bottles with caps and shrink wrap</t>
  </si>
  <si>
    <t>https://www.walmart.com/ip/Great-Value-Purified-Drinking-Water-16-9-fl-oz-24-Count/13448854</t>
  </si>
  <si>
    <t>Accessed 2026-07-17. Full-package one-time price; net contents are per bottle.</t>
  </si>
  <si>
    <t>Brita Standard 10-Cup Tahoe Water Filter Pitcher with 1 Standard Filter</t>
  </si>
  <si>
    <t>gal_filter_capacity</t>
  </si>
  <si>
    <t>~303 16.9-fl-oz bottle equivalents</t>
  </si>
  <si>
    <t>durable plastic pitcher plus replaceable filter cartridge</t>
  </si>
  <si>
    <t>https://www.walmart.com/ip/Brita-Large-10-Cup-White-Tahoe-Water-Filter-Pitcher-with-1-Standard-Filter-Made-Without-BPA/1726363166</t>
  </si>
  <si>
    <t>Accessed 2026-07-17. White variant price; listing showed prior price $31.48. Standard filter rated around 40 gal; first-purchase price includes the durable pitcher, so amortize before comparing with bottled water.</t>
  </si>
  <si>
    <t>yogurt</t>
  </si>
  <si>
    <t>Chobani Plain Nonfat Greek Yogurt single cup 5.3 oz</t>
  </si>
  <si>
    <t>1 cup</t>
  </si>
  <si>
    <t>PP cup with foil lid</t>
  </si>
  <si>
    <t>https://www.target.com/p/chobani-plain-nonfat-greek-yogurt-5-3oz/-/A-23974732</t>
  </si>
  <si>
    <t>Accessed 2026-07-17. Full single-cup price; same plain nonfat formula as large tub.</t>
  </si>
  <si>
    <t>Chobani Plain Nonfat Greek Yogurt tub 32 oz</t>
  </si>
  <si>
    <t>about 5 servings</t>
  </si>
  <si>
    <t>PP tub with foil seal and plastic lid</t>
  </si>
  <si>
    <t>https://www.target.com/p/chobani-plain-nonfat-greek-yogurt-32oz/-/A-13173299</t>
  </si>
  <si>
    <t>Accessed 2026-07-17. Full-package price; label reports about five 3/4-cup servings. Flag denotes larger lower-packaging-intensity format rather than a literal refill.</t>
  </si>
  <si>
    <t>Method Foaming Hand Wash Sea Minerals 10 fl oz</t>
  </si>
  <si>
    <t>PET foaming-pump bottle</t>
  </si>
  <si>
    <t>https://www.target.com/p/method-foaming-hand-wash-sea-minerals-10-fl-oz/-/A-52736077</t>
  </si>
  <si>
    <t>Method Foaming Hand Soap Refill Sea Minerals 28 fl oz</t>
  </si>
  <si>
    <t>2.8 pump-bottle fills</t>
  </si>
  <si>
    <t>plastic refill bottle with cap</t>
  </si>
  <si>
    <t>https://www.target.com/p/method-foaming-hand-soap-refill-sea-minerals-28-fl-oz/-/A-93146026</t>
  </si>
  <si>
    <t>Accessed 2026-07-17. Full-package one-time price; same scent/formula and listing states 2.8 bottle fills.</t>
  </si>
  <si>
    <t>body_wash</t>
  </si>
  <si>
    <t>Aveeno Daily Moisturizing Body Wash with Soothing Oat 33 fl oz</t>
  </si>
  <si>
    <t>https://www.target.com/p/aveeno-daily-moisturizing-body-wash-with-soothing-oat-33-fl-oz/-/A-52274194</t>
  </si>
  <si>
    <t>Aveeno Daily Moisturizing Body Wash with Soothing Oat Refill 36 fl oz</t>
  </si>
  <si>
    <t>1.09 pump-bottle equivalents</t>
  </si>
  <si>
    <t>flexible refill pouch with spout</t>
  </si>
  <si>
    <t>https://www.target.com/p/aveeno-daily-moisturizing-body-wash-with-soothing-oat-refill-36-fl-oz/-/A-83278223</t>
  </si>
  <si>
    <t>Accessed 2026-07-17. Current listing price was $9.99 versus prior $12.49; same formula and 36/33 = 1.09 nominal fills. Treat markdown sensitivity separately.</t>
  </si>
  <si>
    <t>Clean Cult Fresh Basil Ready-to-Use All-Purpose Cleaner 16 oz</t>
  </si>
  <si>
    <t>aluminum trigger-spray bottle</t>
  </si>
  <si>
    <t>https://www.target.com/p/cleancult-aluminum-ready-to-use-all-purpose-cleaners-fresh-basil-16oz/-/A-1006602360</t>
  </si>
  <si>
    <t>Accessed 2026-07-17. Full-package one-time price; reusable aluminum bottle.</t>
  </si>
  <si>
    <t>Clean Cult Fresh Basil All-Purpose Cleaner Refill 32 oz</t>
  </si>
  <si>
    <t>2 spray-bottle fills</t>
  </si>
  <si>
    <t>paper-based composite carton with plastic closure</t>
  </si>
  <si>
    <t>https://www.target.com/p/cleancult-fresh-basil-all-purpose-liquid-cleaner-refills-32oz/-/A-95018141</t>
  </si>
  <si>
    <t>Accessed 2026-07-17. Full-package one-time price; same scent/formula and 32/16 = 2 nominal fills.</t>
  </si>
  <si>
    <t>Everspring Lemon &amp; Mint All-Purpose Cleaner Spray 28 fl oz</t>
  </si>
  <si>
    <t>https://www.target.com/p/lemon-38-mint-all-purpose-cleaner-28-fl-oz-everspring-8482/-/A-75663178</t>
  </si>
  <si>
    <t>Accessed 2026-07-17. Full-package one-time price; ready-to-use formula.</t>
  </si>
  <si>
    <t>Everspring Lemon &amp; Mint Ultra-Concentrated All-Purpose Cleaner 32 fl oz</t>
  </si>
  <si>
    <t>label-dependent yield</t>
  </si>
  <si>
    <t>plastic concentrate bottle with cap</t>
  </si>
  <si>
    <t>https://www.target.com/p/lemon-38-mint-ultra-concentrated-all-purpose-cleaner-32oz-everspring-8482/-/A-92750626</t>
  </si>
  <si>
    <t>Accessed 2026-07-17. Full-package one-time price; Target identifies product form as concentrate mixed with water. Use label dilution instructions before comparing cost or packaging per ready-to-use ounce.</t>
  </si>
  <si>
    <t>Dawn Powerwash Fresh Starter Kit 16 fl oz</t>
  </si>
  <si>
    <t>1 starter bottle</t>
  </si>
  <si>
    <t>PET bottle plus reusable trigger sprayer</t>
  </si>
  <si>
    <t>https://www.walmart.com/ip/Dawn-Powerwash-Spray-Dish-Soap-Dishwashing-Liquid-Fresh-1-Starter-Kit-16-Fl-Oz/811213156</t>
  </si>
  <si>
    <t>Accessed 2026-07-17. Full-package one-time price; current listing also showed a higher prior price, so treat as a potentially temporary price point.</t>
  </si>
  <si>
    <t>Dawn Powerwash Fresh Refill 16 fl oz</t>
  </si>
  <si>
    <t>1 sprayer-reuse cycle</t>
  </si>
  <si>
    <t>snap-on plastic refill bottle</t>
  </si>
  <si>
    <t>https://www.walmart.com/ip/Dawn-Powerwash-Spray-Refill-Dish-Soap-Dishwashing-Liquid-Fresh-1-Refill-16-Fl-Oz/901978154</t>
  </si>
  <si>
    <t>Accessed 2026-07-17. Full-package one-time price; same scent/formula and reuses starter sprayer.</t>
  </si>
  <si>
    <t>deodorant</t>
  </si>
  <si>
    <t>Wild Chrome Case Refillable Deodorant Starter Kit Juicy Mango</t>
  </si>
  <si>
    <t>1 case plus 1 refill</t>
  </si>
  <si>
    <t>durable metal case plus refill cartridge and carton</t>
  </si>
  <si>
    <t>https://www.target.com/p/wild-cosmetics-chrome-case-natural-aluminum-free-deodorant-with-starter-kit-juicy-mango-5-29oz/-/A-94882440</t>
  </si>
  <si>
    <t>Accessed 2026-07-17. Full starter-kit price. Target title says 5.29 oz for the kit; active refill cartridge is 1.4 oz, so verify the physical label before packaging-mass work.</t>
  </si>
  <si>
    <t>Wild Aluminum-Free Deodorant Refill Juicy Mango 1.4 oz</t>
  </si>
  <si>
    <t>1 refill</t>
  </si>
  <si>
    <t>refill cartridge with paperboard sleeve</t>
  </si>
  <si>
    <t>https://www.target.com/p/wild-cosmetics-natural-aluminum-free-deodorant-refill-juicy-mango-1-4oz/-/A-94882433</t>
  </si>
  <si>
    <t>Accessed 2026-07-17. Full-package one-time price; recurring purchase for the starter case.</t>
  </si>
  <si>
    <t>shampoo_body_wash</t>
  </si>
  <si>
    <t>The Honest Company Sensitive Shampoo + Body Wash Fragrance Free 18 fl oz</t>
  </si>
  <si>
    <t>https://www.target.com/p/the-honest-company-sensitive-shampoo-body-wash-fragrance-free-18-fl-oz/-/A-92909423</t>
  </si>
  <si>
    <t>The Honest Company Sensitive Shampoo + Body Wash Refill Fragrance Free 32 fl oz</t>
  </si>
  <si>
    <t>1.78 pump-bottle equivalents</t>
  </si>
  <si>
    <t>FSC paperboard composite refill carton</t>
  </si>
  <si>
    <t>https://www.target.com/p/the-honest-company-sensitive-shampoo-body-wash-refill-fragrance-free-32-fl-oz/-/A-94859342</t>
  </si>
  <si>
    <t>Accessed 2026-07-17. Full-package one-time price; same formula and 32/18 = 1.78 nominal fills. Brand states 89% less plastic than three 10-fl-oz bottles.</t>
  </si>
  <si>
    <t>Sprite Lemon-Lime Soda 12 fl oz cans 12-pack</t>
  </si>
  <si>
    <t>https://www.target.com/p/sprite-12pk-12-fl-oz-cans/-/A-12953469</t>
  </si>
  <si>
    <t>Sprite Lemon-Lime Soda 20 fl oz single bottle</t>
  </si>
  <si>
    <t>https://www.target.com/p/sprite-20-fl-oz-bottle/-/A-12953480</t>
  </si>
  <si>
    <t>Accessed 2026-07-17. Full single-bottle price; same formula family as can row.</t>
  </si>
  <si>
    <t>S.Pellegrino Sparkling Natural Mineral Water 11.15 fl oz cans 8-pack</t>
  </si>
  <si>
    <t>8 servings</t>
  </si>
  <si>
    <t>aluminum cans with paperboard tray or wrap</t>
  </si>
  <si>
    <t>https://www.target.com/p/s-pellegrino-sparkling-natural-mineral-water-8pk-11-15-fl-oz-cans/-/A-53676226</t>
  </si>
  <si>
    <t>Accessed 2026-07-17. Full 8-pack price; net contents are per container.</t>
  </si>
  <si>
    <t>S.Pellegrino Sparkling Natural Mineral Water 16.9 fl oz PET bottles 12-pack</t>
  </si>
  <si>
    <t>https://www.target.com/p/san-pellegrino-sparkling-natural-mineral-water-12pk-16-9-fl-oz-bottles/-/A-14756366</t>
  </si>
  <si>
    <t>Accessed 2026-07-17. Full 12-pack price; same beverage but package count differs from can and glass rows, so normalize per ounce/container.</t>
  </si>
  <si>
    <t>S.Pellegrino Sparkling Natural Mineral Water 16.9 fl oz glass bottles 8-pack</t>
  </si>
  <si>
    <t>https://www.target.com/p/sanpellegrino-sparkling-water-8pk-16-9-fl-oz-glass-bottles/-/A-94759334</t>
  </si>
  <si>
    <t>Accessed 2026-07-17. Full 8-pack price; same beverage and container size as PET row but different pack count.</t>
  </si>
  <si>
    <t>Accessed 2026-07-17. Full-package one-time price; repeated here to preserve the seed template's explicit spray-versus-tablet comparison.</t>
  </si>
  <si>
    <t>BLUELAND Multi-Surface Cleaner 10 Refill Tablets Fresh Lemon</t>
  </si>
  <si>
    <t>fl_oz_per_tablet</t>
  </si>
  <si>
    <t>10 x 24-fl-oz fills</t>
  </si>
  <si>
    <t>dry tablets in retail refill pouch</t>
  </si>
  <si>
    <t>https://www.amazon.com/BLUELAND-Multi-surface-Friendly-Products-Cleaning/dp/B09P1Y9RXV</t>
  </si>
  <si>
    <t>Accessed 2026-07-17. Price shown on Amazon listing/search result; each tablet makes 24 fl oz. Refill tablets do not include the reusable bottle, so use for recurring-use comparison and add/amortize a bottle for first-purchase analysis. Different brand and formula from Windex.</t>
  </si>
  <si>
    <t>Product-Basket Dataset — Audit &amp; QC</t>
  </si>
  <si>
    <t>42 retailer observations | 20 matched groups | prices accessed 2026-07-17</t>
  </si>
  <si>
    <t>QC metric</t>
  </si>
  <si>
    <t>Workbook result</t>
  </si>
  <si>
    <t>Method</t>
  </si>
  <si>
    <t>Rule</t>
  </si>
  <si>
    <t>Reason</t>
  </si>
  <si>
    <t>Rows</t>
  </si>
  <si>
    <t>Price</t>
  </si>
  <si>
    <t>One-time current price; tax, shipping and subscriptions excluded</t>
  </si>
  <si>
    <t>Comparable checkout basis</t>
  </si>
  <si>
    <t>Matched groups</t>
  </si>
  <si>
    <t>Multipacks</t>
  </si>
  <si>
    <t>price_usd is the entire package; uses_per_package stores count</t>
  </si>
  <si>
    <t>Avoid mixing per-unit and package prices</t>
  </si>
  <si>
    <t>Missing prices</t>
  </si>
  <si>
    <t>Net contents</t>
  </si>
  <si>
    <t>Per-container contents for beverage multipacks</t>
  </si>
  <si>
    <t>Supports separate container-mass arithmetic</t>
  </si>
  <si>
    <t>Missing URLs</t>
  </si>
  <si>
    <t>Matching</t>
  </si>
  <si>
    <t>Prefer same brand, formula and scent</t>
  </si>
  <si>
    <t>Reduces quality and formulation confounds</t>
  </si>
  <si>
    <t>Refill/concentrate/reuse flags</t>
  </si>
  <si>
    <t>Flags</t>
  </si>
  <si>
    <t>1 includes refills, concentrates and durable/reusable alternatives</t>
  </si>
  <si>
    <t>Follows the seed template's broader convention</t>
  </si>
  <si>
    <t>Retailers represented</t>
  </si>
  <si>
    <t>Sources</t>
  </si>
  <si>
    <t>Raw product-page URLs remain in Basket column K</t>
  </si>
  <si>
    <t>Line-by-line audit trail</t>
  </si>
  <si>
    <t>Package-price convention</t>
  </si>
  <si>
    <t>price_usd is the full listing/package price; normalize separately</t>
  </si>
  <si>
    <t>Highest-priority caveats before analysis</t>
  </si>
  <si>
    <t>Pair</t>
  </si>
  <si>
    <t>Issue</t>
  </si>
  <si>
    <t>Implication</t>
  </si>
  <si>
    <t>Mexican glass Coke uses cane sugar</t>
  </si>
  <si>
    <t>Packaging comparison only</t>
  </si>
  <si>
    <t>Dishcloth is a functional substitute</t>
  </si>
  <si>
    <t>Assume lifespan/scenario</t>
  </si>
  <si>
    <t>Shave counts are manufacturer maxima</t>
  </si>
  <si>
    <t>Use sensitivity ranges</t>
  </si>
  <si>
    <t>Pitcher is a capital good</t>
  </si>
  <si>
    <t>Amortize pitcher and filters</t>
  </si>
  <si>
    <t>Aveeno refill was marked down</t>
  </si>
  <si>
    <t>Run prior-price sensitivity</t>
  </si>
  <si>
    <t>Concentrate yield is label-dependent</t>
  </si>
  <si>
    <t>Verify dilution before normalization</t>
  </si>
  <si>
    <t>Starter title says 5.29 oz; refill is 1.4 oz</t>
  </si>
  <si>
    <t>Verify physical net label</t>
  </si>
  <si>
    <t>Pack counts differ by material</t>
  </si>
  <si>
    <t>Compare per fl oz/container</t>
  </si>
  <si>
    <t>Only can and PET formats found</t>
  </si>
  <si>
    <t>Do not imply a glass observation</t>
  </si>
  <si>
    <t>Tablet refill excludes bottle and changes brand</t>
  </si>
  <si>
    <t>Amortize bottle; treat as illustrative</t>
  </si>
  <si>
    <t>All</t>
  </si>
  <si>
    <t>Retail prices are a cross-sectional snapshot</t>
  </si>
  <si>
    <t>Do not infer demand elasticity</t>
  </si>
  <si>
    <t>Local inventory may change</t>
  </si>
  <si>
    <t>Archive screenshots if used in final paper</t>
  </si>
  <si>
    <t>Packaging masses are intentionally absent</t>
  </si>
  <si>
    <t>Join the user's reference mass table</t>
  </si>
  <si>
    <t>Promotions mostly excluded</t>
  </si>
  <si>
    <t>Flag any unavoidable markdowns</t>
  </si>
  <si>
    <t>Matched group</t>
  </si>
  <si>
    <t>Flagged alternatives</t>
  </si>
  <si>
    <t>Laundry detergent: standard vs ultra-concentrate</t>
  </si>
  <si>
    <t>Coffee: K-Cup pods vs ground bag</t>
  </si>
  <si>
    <t>Windex spray vs refill</t>
  </si>
  <si>
    <t>Coca-Cola: can vs PET vs glass</t>
  </si>
  <si>
    <t>Disposable razor vs cartridge system</t>
  </si>
  <si>
    <t>Softsoap pump vs refill</t>
  </si>
  <si>
    <t>Dawn bottle vs refill jug</t>
  </si>
  <si>
    <t>Paper towels vs reusable dishcloths</t>
  </si>
  <si>
    <t>Bottled water vs filter pitcher</t>
  </si>
  <si>
    <t>Yogurt single cup vs large tub</t>
  </si>
  <si>
    <t>Method foaming soap pump vs refill</t>
  </si>
  <si>
    <t>Aveeno body wash pump vs refill</t>
  </si>
  <si>
    <t>Clean Cult spray vs carton refill</t>
  </si>
  <si>
    <t>Everspring ready-to-use vs concentrate</t>
  </si>
  <si>
    <t>Dawn Powerwash starter vs refill</t>
  </si>
  <si>
    <t>Wild deodorant starter vs refill</t>
  </si>
  <si>
    <t>Honest shampoo/body wash pump vs refill</t>
  </si>
  <si>
    <t>Sprite can vs PET</t>
  </si>
  <si>
    <t>S.Pellegrino: can vs PET vs glass</t>
  </si>
  <si>
    <t>Surface cleaner spray vs refill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</si>
</sst>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0.00"/>
  </numFmts>
  <fonts count="11">
    <font>
      <sz val="11"/>
      <name val="Carlito"/>
    </font>
    <font>
      <sz val="10"/>
      <color rgb="FF1F2937"/>
      <name val="Aptos"/>
    </font>
    <font>
      <b/>
      <sz val="10"/>
      <color rgb="FFFFFFFF"/>
      <name val="Aptos Display"/>
    </font>
    <font>
      <b/>
      <sz val="18"/>
      <color rgb="FFFFFFFF"/>
      <name val="Aptos Display"/>
    </font>
    <font>
      <i/>
      <sz val="11"/>
      <color rgb="FF17365D"/>
      <name val="Aptos"/>
    </font>
    <font>
      <b/>
      <sz val="10"/>
      <color rgb="FFFFFFFF"/>
      <name val="Aptos"/>
    </font>
    <font>
      <b/>
      <sz val="10"/>
      <color rgb="FF334155"/>
      <name val="Aptos"/>
    </font>
    <font>
      <b/>
      <sz val="10"/>
      <color rgb="FF17365D"/>
      <name val="Aptos"/>
    </font>
    <font>
      <b/>
      <sz val="10"/>
      <color rgb="FF5B2C06"/>
      <name val="Aptos"/>
    </font>
    <font>
      <b/>
      <sz val="10"/>
      <color rgb="FF7F6000"/>
      <name val="Aptos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F4B183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B203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9CA3AF"/>
      </bottom>
      <diagonal/>
    </border>
    <border>
      <left/>
      <right/>
      <top style="thin">
        <color rgb="FFD1D5DB"/>
      </top>
      <bottom/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0" borderId="0" xfId="1" applyFont="1" applyAlignment="1">
      <alignment vertical="top"/>
    </xf>
    <xf numFmtId="0" fontId="2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vertical="top"/>
    </xf>
    <xf numFmtId="0" fontId="1" fillId="0" borderId="3" xfId="1" applyFont="1" applyBorder="1" applyAlignment="1">
      <alignment vertical="top"/>
    </xf>
    <xf numFmtId="0" fontId="1" fillId="0" borderId="4" xfId="1" applyFont="1" applyBorder="1" applyAlignment="1">
      <alignment vertical="top"/>
    </xf>
    <xf numFmtId="0" fontId="1" fillId="0" borderId="2" xfId="1" applyFont="1" applyBorder="1" applyAlignment="1">
      <alignment horizontal="left" vertical="top"/>
    </xf>
    <xf numFmtId="0" fontId="1" fillId="0" borderId="3" xfId="1" applyFont="1" applyBorder="1" applyAlignment="1">
      <alignment horizontal="left" vertical="top"/>
    </xf>
    <xf numFmtId="0" fontId="1" fillId="0" borderId="4" xfId="1" applyFont="1" applyBorder="1" applyAlignment="1">
      <alignment horizontal="left" vertical="top"/>
    </xf>
    <xf numFmtId="0" fontId="1" fillId="0" borderId="2" xfId="1" applyFont="1" applyBorder="1" applyAlignment="1">
      <alignment horizontal="center" vertical="top"/>
    </xf>
    <xf numFmtId="0" fontId="1" fillId="0" borderId="3" xfId="1" applyFont="1" applyBorder="1" applyAlignment="1">
      <alignment horizontal="center" vertical="top"/>
    </xf>
    <xf numFmtId="0" fontId="1" fillId="0" borderId="4" xfId="1" applyFont="1" applyBorder="1" applyAlignment="1">
      <alignment horizontal="center" vertical="top"/>
    </xf>
    <xf numFmtId="176" fontId="1" fillId="0" borderId="2" xfId="1" applyNumberFormat="1" applyFont="1" applyBorder="1" applyAlignment="1">
      <alignment vertical="top"/>
    </xf>
    <xf numFmtId="176" fontId="1" fillId="0" borderId="3" xfId="1" applyNumberFormat="1" applyFont="1" applyBorder="1" applyAlignment="1">
      <alignment vertical="top"/>
    </xf>
    <xf numFmtId="176" fontId="1" fillId="0" borderId="4" xfId="1" applyNumberFormat="1" applyFont="1" applyBorder="1" applyAlignment="1">
      <alignment vertical="top"/>
    </xf>
    <xf numFmtId="2" fontId="1" fillId="0" borderId="2" xfId="1" applyNumberFormat="1" applyFont="1" applyBorder="1" applyAlignment="1">
      <alignment vertical="top"/>
    </xf>
    <xf numFmtId="2" fontId="1" fillId="0" borderId="3" xfId="1" applyNumberFormat="1" applyFont="1" applyBorder="1" applyAlignment="1">
      <alignment vertical="top"/>
    </xf>
    <xf numFmtId="2" fontId="1" fillId="0" borderId="4" xfId="1" applyNumberFormat="1" applyFont="1" applyBorder="1" applyAlignment="1">
      <alignment vertical="top"/>
    </xf>
    <xf numFmtId="1" fontId="1" fillId="0" borderId="2" xfId="1" applyNumberFormat="1" applyFont="1" applyBorder="1" applyAlignment="1">
      <alignment horizontal="left" vertical="top"/>
    </xf>
    <xf numFmtId="1" fontId="1" fillId="0" borderId="3" xfId="1" applyNumberFormat="1" applyFont="1" applyBorder="1" applyAlignment="1">
      <alignment horizontal="left" vertical="top"/>
    </xf>
    <xf numFmtId="1" fontId="1" fillId="0" borderId="4" xfId="1" applyNumberFormat="1" applyFont="1" applyBorder="1" applyAlignment="1">
      <alignment horizontal="left" vertical="top"/>
    </xf>
    <xf numFmtId="1" fontId="1" fillId="0" borderId="2" xfId="1" applyNumberFormat="1" applyFont="1" applyBorder="1" applyAlignment="1">
      <alignment vertical="top"/>
    </xf>
    <xf numFmtId="1" fontId="1" fillId="0" borderId="3" xfId="1" applyNumberFormat="1" applyFont="1" applyBorder="1" applyAlignment="1">
      <alignment vertical="top"/>
    </xf>
    <xf numFmtId="1" fontId="1" fillId="0" borderId="4" xfId="1" applyNumberFormat="1" applyFont="1" applyBorder="1" applyAlignment="1">
      <alignment vertical="top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5" fillId="4" borderId="5" xfId="1" applyFont="1" applyFill="1" applyBorder="1" applyAlignment="1">
      <alignment vertical="top"/>
    </xf>
    <xf numFmtId="0" fontId="6" fillId="0" borderId="6" xfId="1" applyFont="1" applyBorder="1" applyAlignment="1">
      <alignment vertical="top" wrapText="1"/>
    </xf>
    <xf numFmtId="0" fontId="6" fillId="0" borderId="7" xfId="1" applyFont="1" applyBorder="1" applyAlignment="1">
      <alignment vertical="top" wrapText="1"/>
    </xf>
    <xf numFmtId="0" fontId="7" fillId="5" borderId="6" xfId="1" applyFont="1" applyFill="1" applyBorder="1" applyAlignment="1">
      <alignment horizontal="center" vertical="top"/>
    </xf>
    <xf numFmtId="0" fontId="1" fillId="0" borderId="7" xfId="1" applyFont="1" applyBorder="1" applyAlignment="1">
      <alignment vertical="top" wrapText="1"/>
    </xf>
    <xf numFmtId="0" fontId="5" fillId="4" borderId="0" xfId="1" applyFont="1" applyFill="1" applyAlignment="1">
      <alignment vertical="top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9" fillId="7" borderId="2" xfId="1" applyFont="1" applyFill="1" applyBorder="1" applyAlignment="1">
      <alignment vertical="top" wrapText="1"/>
    </xf>
    <xf numFmtId="0" fontId="1" fillId="0" borderId="3" xfId="1" applyFont="1" applyBorder="1" applyAlignment="1">
      <alignment horizontal="center" vertical="top" wrapText="1"/>
    </xf>
    <xf numFmtId="0" fontId="1" fillId="0" borderId="4" xfId="1" applyFont="1" applyBorder="1" applyAlignment="1">
      <alignment horizontal="center" vertical="top" wrapText="1"/>
    </xf>
    <xf numFmtId="1" fontId="1" fillId="0" borderId="2" xfId="1" applyNumberFormat="1" applyFont="1" applyBorder="1" applyAlignment="1">
      <alignment horizontal="center" vertical="top"/>
    </xf>
    <xf numFmtId="1" fontId="1" fillId="0" borderId="3" xfId="1" applyNumberFormat="1" applyFont="1" applyBorder="1" applyAlignment="1">
      <alignment horizontal="center" vertical="top"/>
    </xf>
    <xf numFmtId="1" fontId="1" fillId="0" borderId="4" xfId="1" applyNumberFormat="1" applyFont="1" applyBorder="1" applyAlignment="1">
      <alignment horizontal="center" vertical="top"/>
    </xf>
    <xf numFmtId="0" fontId="3" fillId="2" borderId="0" xfId="1" applyFont="1" applyFill="1" applyAlignment="1">
      <alignment vertical="center"/>
    </xf>
    <xf numFmtId="0" fontId="4" fillId="3" borderId="0" xfId="1" applyFont="1" applyFill="1" applyAlignment="1">
      <alignment vertical="top"/>
    </xf>
    <xf numFmtId="0" fontId="8" fillId="6" borderId="0" xfId="1" applyFont="1" applyFill="1" applyAlignment="1">
      <alignment vertical="top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ketTable" displayName="BasketTable" ref="A1:L43" totalsRowShown="0">
  <autoFilter ref="A1:L43" xr:uid="{00000000-0009-0000-0100-000001000000}"/>
  <tableColumns count="12">
    <tableColumn id="1" xr3:uid="{00000000-0010-0000-0000-000001000000}" name="pair_id"/>
    <tableColumn id="2" xr3:uid="{00000000-0010-0000-0000-000002000000}" name="category"/>
    <tableColumn id="3" xr3:uid="{00000000-0010-0000-0000-000003000000}" name="product_name"/>
    <tableColumn id="4" xr3:uid="{00000000-0010-0000-0000-000004000000}" name="retailer"/>
    <tableColumn id="5" xr3:uid="{00000000-0010-0000-0000-000005000000}" name="price_usd"/>
    <tableColumn id="6" xr3:uid="{00000000-0010-0000-0000-000006000000}" name="net_contents_value"/>
    <tableColumn id="7" xr3:uid="{00000000-0010-0000-0000-000007000000}" name="net_contents_unit"/>
    <tableColumn id="8" xr3:uid="{00000000-0010-0000-0000-000008000000}" name="uses_per_package"/>
    <tableColumn id="9" xr3:uid="{00000000-0010-0000-0000-000009000000}" name="packaging_format"/>
    <tableColumn id="10" xr3:uid="{00000000-0010-0000-0000-00000A000000}" name="refill_or_concentrate_flag"/>
    <tableColumn id="11" xr3:uid="{00000000-0010-0000-0000-00000B000000}" name="url"/>
    <tableColumn id="12" xr3:uid="{00000000-0010-0000-00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tabSelected="1" workbookViewId="0"/>
  </sheetViews>
  <sheetFormatPr defaultRowHeight="15"/>
  <cols>
    <col min="1" max="1" width="6.25" customWidth="1"/>
    <col min="2" max="2" width="13.875" customWidth="1"/>
    <col min="3" max="3" width="32.25" customWidth="1"/>
    <col min="4" max="5" width="9.125" customWidth="1"/>
    <col min="6" max="6" width="10.25" customWidth="1"/>
    <col min="7" max="7" width="12.75" customWidth="1"/>
    <col min="8" max="8" width="17.25" customWidth="1"/>
    <col min="9" max="9" width="25" customWidth="1"/>
    <col min="10" max="10" width="11.125" customWidth="1"/>
    <col min="11" max="11" width="34.5" customWidth="1"/>
    <col min="12" max="12" width="43.375" customWidth="1"/>
  </cols>
  <sheetData>
    <row r="1" spans="1:12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8" customHeight="1">
      <c r="A2" s="18">
        <v>1</v>
      </c>
      <c r="B2" s="6" t="s">
        <v>12</v>
      </c>
      <c r="C2" s="24" t="s">
        <v>13</v>
      </c>
      <c r="D2" s="9" t="s">
        <v>14</v>
      </c>
      <c r="E2" s="12">
        <v>12.99</v>
      </c>
      <c r="F2" s="15">
        <v>90</v>
      </c>
      <c r="G2" s="3" t="s">
        <v>15</v>
      </c>
      <c r="H2" s="24" t="s">
        <v>16</v>
      </c>
      <c r="I2" s="24" t="s">
        <v>17</v>
      </c>
      <c r="J2" s="21">
        <v>0</v>
      </c>
      <c r="K2" s="24" t="s">
        <v>18</v>
      </c>
      <c r="L2" s="24" t="s">
        <v>19</v>
      </c>
    </row>
    <row r="3" spans="1:12" ht="48" customHeight="1">
      <c r="A3" s="19">
        <v>1</v>
      </c>
      <c r="B3" s="7" t="s">
        <v>12</v>
      </c>
      <c r="C3" s="25" t="s">
        <v>20</v>
      </c>
      <c r="D3" s="10" t="s">
        <v>14</v>
      </c>
      <c r="E3" s="13">
        <v>13.99</v>
      </c>
      <c r="F3" s="16">
        <v>23.1</v>
      </c>
      <c r="G3" s="4" t="s">
        <v>15</v>
      </c>
      <c r="H3" s="25" t="s">
        <v>21</v>
      </c>
      <c r="I3" s="25" t="s">
        <v>22</v>
      </c>
      <c r="J3" s="22">
        <v>1</v>
      </c>
      <c r="K3" s="25" t="s">
        <v>23</v>
      </c>
      <c r="L3" s="25" t="s">
        <v>24</v>
      </c>
    </row>
    <row r="4" spans="1:12" ht="48" customHeight="1">
      <c r="A4" s="19">
        <v>2</v>
      </c>
      <c r="B4" s="7" t="s">
        <v>25</v>
      </c>
      <c r="C4" s="25" t="s">
        <v>26</v>
      </c>
      <c r="D4" s="10" t="s">
        <v>14</v>
      </c>
      <c r="E4" s="13">
        <v>20.99</v>
      </c>
      <c r="F4" s="16">
        <v>22</v>
      </c>
      <c r="G4" s="4" t="s">
        <v>27</v>
      </c>
      <c r="H4" s="25" t="s">
        <v>28</v>
      </c>
      <c r="I4" s="25" t="s">
        <v>29</v>
      </c>
      <c r="J4" s="22">
        <v>0</v>
      </c>
      <c r="K4" s="25" t="s">
        <v>30</v>
      </c>
      <c r="L4" s="25" t="s">
        <v>31</v>
      </c>
    </row>
    <row r="5" spans="1:12" ht="48" customHeight="1">
      <c r="A5" s="19">
        <v>2</v>
      </c>
      <c r="B5" s="7" t="s">
        <v>25</v>
      </c>
      <c r="C5" s="25" t="s">
        <v>32</v>
      </c>
      <c r="D5" s="10" t="s">
        <v>14</v>
      </c>
      <c r="E5" s="13">
        <v>12.79</v>
      </c>
      <c r="F5" s="16">
        <v>12</v>
      </c>
      <c r="G5" s="4" t="s">
        <v>33</v>
      </c>
      <c r="H5" s="25" t="s">
        <v>34</v>
      </c>
      <c r="I5" s="25" t="s">
        <v>35</v>
      </c>
      <c r="J5" s="22">
        <v>1</v>
      </c>
      <c r="K5" s="25" t="s">
        <v>36</v>
      </c>
      <c r="L5" s="25" t="s">
        <v>37</v>
      </c>
    </row>
    <row r="6" spans="1:12" ht="48" customHeight="1">
      <c r="A6" s="19">
        <v>3</v>
      </c>
      <c r="B6" s="7" t="s">
        <v>38</v>
      </c>
      <c r="C6" s="25" t="s">
        <v>39</v>
      </c>
      <c r="D6" s="10" t="s">
        <v>14</v>
      </c>
      <c r="E6" s="13">
        <v>3.99</v>
      </c>
      <c r="F6" s="16">
        <v>26</v>
      </c>
      <c r="G6" s="4" t="s">
        <v>15</v>
      </c>
      <c r="H6" s="25" t="s">
        <v>40</v>
      </c>
      <c r="I6" s="25" t="s">
        <v>41</v>
      </c>
      <c r="J6" s="22">
        <v>0</v>
      </c>
      <c r="K6" s="25" t="s">
        <v>42</v>
      </c>
      <c r="L6" s="25" t="s">
        <v>43</v>
      </c>
    </row>
    <row r="7" spans="1:12" ht="48" customHeight="1">
      <c r="A7" s="19">
        <v>3</v>
      </c>
      <c r="B7" s="7" t="s">
        <v>38</v>
      </c>
      <c r="C7" s="25" t="s">
        <v>44</v>
      </c>
      <c r="D7" s="10" t="s">
        <v>14</v>
      </c>
      <c r="E7" s="13">
        <v>6.99</v>
      </c>
      <c r="F7" s="16">
        <v>67.599999999999994</v>
      </c>
      <c r="G7" s="4" t="s">
        <v>15</v>
      </c>
      <c r="H7" s="25" t="s">
        <v>45</v>
      </c>
      <c r="I7" s="25" t="s">
        <v>46</v>
      </c>
      <c r="J7" s="22">
        <v>1</v>
      </c>
      <c r="K7" s="25" t="s">
        <v>47</v>
      </c>
      <c r="L7" s="25" t="s">
        <v>48</v>
      </c>
    </row>
    <row r="8" spans="1:12" ht="48" customHeight="1">
      <c r="A8" s="19">
        <v>4</v>
      </c>
      <c r="B8" s="7" t="s">
        <v>49</v>
      </c>
      <c r="C8" s="25" t="s">
        <v>50</v>
      </c>
      <c r="D8" s="10" t="s">
        <v>14</v>
      </c>
      <c r="E8" s="13">
        <v>8.89</v>
      </c>
      <c r="F8" s="16">
        <v>12</v>
      </c>
      <c r="G8" s="4" t="s">
        <v>15</v>
      </c>
      <c r="H8" s="25" t="s">
        <v>51</v>
      </c>
      <c r="I8" s="25" t="s">
        <v>52</v>
      </c>
      <c r="J8" s="22">
        <v>0</v>
      </c>
      <c r="K8" s="25" t="s">
        <v>53</v>
      </c>
      <c r="L8" s="25" t="s">
        <v>54</v>
      </c>
    </row>
    <row r="9" spans="1:12" ht="48" customHeight="1">
      <c r="A9" s="19">
        <v>4</v>
      </c>
      <c r="B9" s="7" t="s">
        <v>49</v>
      </c>
      <c r="C9" s="25" t="s">
        <v>55</v>
      </c>
      <c r="D9" s="10" t="s">
        <v>14</v>
      </c>
      <c r="E9" s="13">
        <v>2.69</v>
      </c>
      <c r="F9" s="16">
        <v>20</v>
      </c>
      <c r="G9" s="4" t="s">
        <v>15</v>
      </c>
      <c r="H9" s="25" t="s">
        <v>56</v>
      </c>
      <c r="I9" s="25" t="s">
        <v>57</v>
      </c>
      <c r="J9" s="22">
        <v>0</v>
      </c>
      <c r="K9" s="25" t="s">
        <v>58</v>
      </c>
      <c r="L9" s="25" t="s">
        <v>59</v>
      </c>
    </row>
    <row r="10" spans="1:12" ht="48" customHeight="1">
      <c r="A10" s="19">
        <v>4</v>
      </c>
      <c r="B10" s="7" t="s">
        <v>49</v>
      </c>
      <c r="C10" s="25" t="s">
        <v>60</v>
      </c>
      <c r="D10" s="10" t="s">
        <v>61</v>
      </c>
      <c r="E10" s="13">
        <v>7.22</v>
      </c>
      <c r="F10" s="16">
        <v>12</v>
      </c>
      <c r="G10" s="4" t="s">
        <v>15</v>
      </c>
      <c r="H10" s="25" t="s">
        <v>62</v>
      </c>
      <c r="I10" s="25" t="s">
        <v>63</v>
      </c>
      <c r="J10" s="22">
        <v>0</v>
      </c>
      <c r="K10" s="25" t="s">
        <v>64</v>
      </c>
      <c r="L10" s="25" t="s">
        <v>65</v>
      </c>
    </row>
    <row r="11" spans="1:12" ht="48" customHeight="1">
      <c r="A11" s="19">
        <v>5</v>
      </c>
      <c r="B11" s="7" t="s">
        <v>66</v>
      </c>
      <c r="C11" s="25" t="s">
        <v>67</v>
      </c>
      <c r="D11" s="10" t="s">
        <v>61</v>
      </c>
      <c r="E11" s="13">
        <v>14.97</v>
      </c>
      <c r="F11" s="16">
        <v>12</v>
      </c>
      <c r="G11" s="4" t="s">
        <v>68</v>
      </c>
      <c r="H11" s="25" t="s">
        <v>69</v>
      </c>
      <c r="I11" s="25" t="s">
        <v>70</v>
      </c>
      <c r="J11" s="22">
        <v>0</v>
      </c>
      <c r="K11" s="25" t="s">
        <v>71</v>
      </c>
      <c r="L11" s="25" t="s">
        <v>72</v>
      </c>
    </row>
    <row r="12" spans="1:12" ht="48" customHeight="1">
      <c r="A12" s="19">
        <v>5</v>
      </c>
      <c r="B12" s="7" t="s">
        <v>66</v>
      </c>
      <c r="C12" s="25" t="s">
        <v>73</v>
      </c>
      <c r="D12" s="10" t="s">
        <v>61</v>
      </c>
      <c r="E12" s="13">
        <v>29.97</v>
      </c>
      <c r="F12" s="16">
        <v>10</v>
      </c>
      <c r="G12" s="4" t="s">
        <v>74</v>
      </c>
      <c r="H12" s="25" t="s">
        <v>75</v>
      </c>
      <c r="I12" s="25" t="s">
        <v>76</v>
      </c>
      <c r="J12" s="22">
        <v>1</v>
      </c>
      <c r="K12" s="25" t="s">
        <v>77</v>
      </c>
      <c r="L12" s="25" t="s">
        <v>78</v>
      </c>
    </row>
    <row r="13" spans="1:12" ht="48" customHeight="1">
      <c r="A13" s="19">
        <v>6</v>
      </c>
      <c r="B13" s="7" t="s">
        <v>79</v>
      </c>
      <c r="C13" s="25" t="s">
        <v>80</v>
      </c>
      <c r="D13" s="10" t="s">
        <v>61</v>
      </c>
      <c r="E13" s="13">
        <v>2.97</v>
      </c>
      <c r="F13" s="16">
        <v>11.25</v>
      </c>
      <c r="G13" s="4" t="s">
        <v>15</v>
      </c>
      <c r="H13" s="25" t="s">
        <v>81</v>
      </c>
      <c r="I13" s="25" t="s">
        <v>82</v>
      </c>
      <c r="J13" s="22">
        <v>0</v>
      </c>
      <c r="K13" s="25" t="s">
        <v>83</v>
      </c>
      <c r="L13" s="25" t="s">
        <v>43</v>
      </c>
    </row>
    <row r="14" spans="1:12" ht="48" customHeight="1">
      <c r="A14" s="19">
        <v>6</v>
      </c>
      <c r="B14" s="7" t="s">
        <v>79</v>
      </c>
      <c r="C14" s="25" t="s">
        <v>84</v>
      </c>
      <c r="D14" s="10" t="s">
        <v>61</v>
      </c>
      <c r="E14" s="13">
        <v>5.97</v>
      </c>
      <c r="F14" s="16">
        <v>50</v>
      </c>
      <c r="G14" s="4" t="s">
        <v>15</v>
      </c>
      <c r="H14" s="25" t="s">
        <v>85</v>
      </c>
      <c r="I14" s="25" t="s">
        <v>86</v>
      </c>
      <c r="J14" s="22">
        <v>1</v>
      </c>
      <c r="K14" s="25" t="s">
        <v>87</v>
      </c>
      <c r="L14" s="25" t="s">
        <v>88</v>
      </c>
    </row>
    <row r="15" spans="1:12" ht="48" customHeight="1">
      <c r="A15" s="19">
        <v>7</v>
      </c>
      <c r="B15" s="7" t="s">
        <v>89</v>
      </c>
      <c r="C15" s="25" t="s">
        <v>90</v>
      </c>
      <c r="D15" s="10" t="s">
        <v>61</v>
      </c>
      <c r="E15" s="13">
        <v>2.94</v>
      </c>
      <c r="F15" s="16">
        <v>18</v>
      </c>
      <c r="G15" s="4" t="s">
        <v>15</v>
      </c>
      <c r="H15" s="25" t="s">
        <v>91</v>
      </c>
      <c r="I15" s="25" t="s">
        <v>92</v>
      </c>
      <c r="J15" s="22">
        <v>0</v>
      </c>
      <c r="K15" s="25" t="s">
        <v>93</v>
      </c>
      <c r="L15" s="25" t="s">
        <v>43</v>
      </c>
    </row>
    <row r="16" spans="1:12" ht="48" customHeight="1">
      <c r="A16" s="19">
        <v>7</v>
      </c>
      <c r="B16" s="7" t="s">
        <v>89</v>
      </c>
      <c r="C16" s="25" t="s">
        <v>94</v>
      </c>
      <c r="D16" s="10" t="s">
        <v>61</v>
      </c>
      <c r="E16" s="13">
        <v>9.94</v>
      </c>
      <c r="F16" s="16">
        <v>67</v>
      </c>
      <c r="G16" s="4" t="s">
        <v>15</v>
      </c>
      <c r="H16" s="25" t="s">
        <v>95</v>
      </c>
      <c r="I16" s="25" t="s">
        <v>96</v>
      </c>
      <c r="J16" s="22">
        <v>1</v>
      </c>
      <c r="K16" s="25" t="s">
        <v>97</v>
      </c>
      <c r="L16" s="25" t="s">
        <v>98</v>
      </c>
    </row>
    <row r="17" spans="1:12" ht="48" customHeight="1">
      <c r="A17" s="19">
        <v>8</v>
      </c>
      <c r="B17" s="7" t="s">
        <v>99</v>
      </c>
      <c r="C17" s="25" t="s">
        <v>100</v>
      </c>
      <c r="D17" s="10" t="s">
        <v>61</v>
      </c>
      <c r="E17" s="13">
        <v>22.46</v>
      </c>
      <c r="F17" s="16">
        <v>12</v>
      </c>
      <c r="G17" s="4" t="s">
        <v>101</v>
      </c>
      <c r="H17" s="25" t="s">
        <v>102</v>
      </c>
      <c r="I17" s="25" t="s">
        <v>103</v>
      </c>
      <c r="J17" s="22">
        <v>0</v>
      </c>
      <c r="K17" s="25" t="s">
        <v>104</v>
      </c>
      <c r="L17" s="25" t="s">
        <v>105</v>
      </c>
    </row>
    <row r="18" spans="1:12" ht="48" customHeight="1">
      <c r="A18" s="19">
        <v>8</v>
      </c>
      <c r="B18" s="7" t="s">
        <v>99</v>
      </c>
      <c r="C18" s="25" t="s">
        <v>106</v>
      </c>
      <c r="D18" s="10" t="s">
        <v>107</v>
      </c>
      <c r="E18" s="13">
        <v>9.74</v>
      </c>
      <c r="F18" s="16">
        <v>10</v>
      </c>
      <c r="G18" s="4" t="s">
        <v>108</v>
      </c>
      <c r="H18" s="25" t="s">
        <v>109</v>
      </c>
      <c r="I18" s="25" t="s">
        <v>110</v>
      </c>
      <c r="J18" s="22">
        <v>1</v>
      </c>
      <c r="K18" s="25" t="s">
        <v>111</v>
      </c>
      <c r="L18" s="25" t="s">
        <v>112</v>
      </c>
    </row>
    <row r="19" spans="1:12" ht="48" customHeight="1">
      <c r="A19" s="19">
        <v>9</v>
      </c>
      <c r="B19" s="7" t="s">
        <v>113</v>
      </c>
      <c r="C19" s="25" t="s">
        <v>114</v>
      </c>
      <c r="D19" s="10" t="s">
        <v>61</v>
      </c>
      <c r="E19" s="13">
        <v>3.68</v>
      </c>
      <c r="F19" s="16">
        <v>16.899999999999999</v>
      </c>
      <c r="G19" s="4" t="s">
        <v>15</v>
      </c>
      <c r="H19" s="25" t="s">
        <v>115</v>
      </c>
      <c r="I19" s="25" t="s">
        <v>116</v>
      </c>
      <c r="J19" s="22">
        <v>0</v>
      </c>
      <c r="K19" s="25" t="s">
        <v>117</v>
      </c>
      <c r="L19" s="25" t="s">
        <v>118</v>
      </c>
    </row>
    <row r="20" spans="1:12" ht="48" customHeight="1">
      <c r="A20" s="19">
        <v>9</v>
      </c>
      <c r="B20" s="7" t="s">
        <v>113</v>
      </c>
      <c r="C20" s="25" t="s">
        <v>119</v>
      </c>
      <c r="D20" s="10" t="s">
        <v>61</v>
      </c>
      <c r="E20" s="13">
        <v>28.33</v>
      </c>
      <c r="F20" s="16">
        <v>40</v>
      </c>
      <c r="G20" s="4" t="s">
        <v>120</v>
      </c>
      <c r="H20" s="25" t="s">
        <v>121</v>
      </c>
      <c r="I20" s="25" t="s">
        <v>122</v>
      </c>
      <c r="J20" s="22">
        <v>1</v>
      </c>
      <c r="K20" s="25" t="s">
        <v>123</v>
      </c>
      <c r="L20" s="25" t="s">
        <v>124</v>
      </c>
    </row>
    <row r="21" spans="1:12" ht="48" customHeight="1">
      <c r="A21" s="19">
        <v>10</v>
      </c>
      <c r="B21" s="7" t="s">
        <v>125</v>
      </c>
      <c r="C21" s="25" t="s">
        <v>126</v>
      </c>
      <c r="D21" s="10" t="s">
        <v>14</v>
      </c>
      <c r="E21" s="13">
        <v>1.39</v>
      </c>
      <c r="F21" s="16">
        <v>5.3</v>
      </c>
      <c r="G21" s="4" t="s">
        <v>33</v>
      </c>
      <c r="H21" s="25" t="s">
        <v>127</v>
      </c>
      <c r="I21" s="25" t="s">
        <v>128</v>
      </c>
      <c r="J21" s="22">
        <v>0</v>
      </c>
      <c r="K21" s="25" t="s">
        <v>129</v>
      </c>
      <c r="L21" s="25" t="s">
        <v>130</v>
      </c>
    </row>
    <row r="22" spans="1:12" ht="48" customHeight="1">
      <c r="A22" s="19">
        <v>10</v>
      </c>
      <c r="B22" s="7" t="s">
        <v>125</v>
      </c>
      <c r="C22" s="25" t="s">
        <v>131</v>
      </c>
      <c r="D22" s="10" t="s">
        <v>14</v>
      </c>
      <c r="E22" s="13">
        <v>5.99</v>
      </c>
      <c r="F22" s="16">
        <v>32</v>
      </c>
      <c r="G22" s="4" t="s">
        <v>33</v>
      </c>
      <c r="H22" s="25" t="s">
        <v>132</v>
      </c>
      <c r="I22" s="25" t="s">
        <v>133</v>
      </c>
      <c r="J22" s="22">
        <v>1</v>
      </c>
      <c r="K22" s="25" t="s">
        <v>134</v>
      </c>
      <c r="L22" s="25" t="s">
        <v>135</v>
      </c>
    </row>
    <row r="23" spans="1:12" ht="48" customHeight="1">
      <c r="A23" s="19">
        <v>11</v>
      </c>
      <c r="B23" s="7" t="s">
        <v>79</v>
      </c>
      <c r="C23" s="25" t="s">
        <v>136</v>
      </c>
      <c r="D23" s="10" t="s">
        <v>14</v>
      </c>
      <c r="E23" s="13">
        <v>3.99</v>
      </c>
      <c r="F23" s="16">
        <v>10</v>
      </c>
      <c r="G23" s="4" t="s">
        <v>15</v>
      </c>
      <c r="H23" s="25" t="s">
        <v>81</v>
      </c>
      <c r="I23" s="25" t="s">
        <v>137</v>
      </c>
      <c r="J23" s="22">
        <v>0</v>
      </c>
      <c r="K23" s="25" t="s">
        <v>138</v>
      </c>
      <c r="L23" s="25" t="s">
        <v>43</v>
      </c>
    </row>
    <row r="24" spans="1:12" ht="48" customHeight="1">
      <c r="A24" s="19">
        <v>11</v>
      </c>
      <c r="B24" s="7" t="s">
        <v>79</v>
      </c>
      <c r="C24" s="25" t="s">
        <v>139</v>
      </c>
      <c r="D24" s="10" t="s">
        <v>14</v>
      </c>
      <c r="E24" s="13">
        <v>7.79</v>
      </c>
      <c r="F24" s="16">
        <v>28</v>
      </c>
      <c r="G24" s="4" t="s">
        <v>15</v>
      </c>
      <c r="H24" s="25" t="s">
        <v>140</v>
      </c>
      <c r="I24" s="25" t="s">
        <v>141</v>
      </c>
      <c r="J24" s="22">
        <v>1</v>
      </c>
      <c r="K24" s="25" t="s">
        <v>142</v>
      </c>
      <c r="L24" s="25" t="s">
        <v>143</v>
      </c>
    </row>
    <row r="25" spans="1:12" ht="48" customHeight="1">
      <c r="A25" s="19">
        <v>12</v>
      </c>
      <c r="B25" s="7" t="s">
        <v>144</v>
      </c>
      <c r="C25" s="25" t="s">
        <v>145</v>
      </c>
      <c r="D25" s="10" t="s">
        <v>14</v>
      </c>
      <c r="E25" s="13">
        <v>12.99</v>
      </c>
      <c r="F25" s="16">
        <v>33</v>
      </c>
      <c r="G25" s="4" t="s">
        <v>15</v>
      </c>
      <c r="H25" s="25" t="s">
        <v>81</v>
      </c>
      <c r="I25" s="25" t="s">
        <v>82</v>
      </c>
      <c r="J25" s="22">
        <v>0</v>
      </c>
      <c r="K25" s="25" t="s">
        <v>146</v>
      </c>
      <c r="L25" s="25" t="s">
        <v>43</v>
      </c>
    </row>
    <row r="26" spans="1:12" ht="48" customHeight="1">
      <c r="A26" s="19">
        <v>12</v>
      </c>
      <c r="B26" s="7" t="s">
        <v>144</v>
      </c>
      <c r="C26" s="25" t="s">
        <v>147</v>
      </c>
      <c r="D26" s="10" t="s">
        <v>14</v>
      </c>
      <c r="E26" s="13">
        <v>9.99</v>
      </c>
      <c r="F26" s="16">
        <v>36</v>
      </c>
      <c r="G26" s="4" t="s">
        <v>15</v>
      </c>
      <c r="H26" s="25" t="s">
        <v>148</v>
      </c>
      <c r="I26" s="25" t="s">
        <v>149</v>
      </c>
      <c r="J26" s="22">
        <v>1</v>
      </c>
      <c r="K26" s="25" t="s">
        <v>150</v>
      </c>
      <c r="L26" s="25" t="s">
        <v>151</v>
      </c>
    </row>
    <row r="27" spans="1:12" ht="48" customHeight="1">
      <c r="A27" s="19">
        <v>13</v>
      </c>
      <c r="B27" s="7" t="s">
        <v>38</v>
      </c>
      <c r="C27" s="25" t="s">
        <v>152</v>
      </c>
      <c r="D27" s="10" t="s">
        <v>14</v>
      </c>
      <c r="E27" s="13">
        <v>4.99</v>
      </c>
      <c r="F27" s="16">
        <v>16</v>
      </c>
      <c r="G27" s="4" t="s">
        <v>15</v>
      </c>
      <c r="H27" s="25" t="s">
        <v>40</v>
      </c>
      <c r="I27" s="25" t="s">
        <v>153</v>
      </c>
      <c r="J27" s="22">
        <v>0</v>
      </c>
      <c r="K27" s="25" t="s">
        <v>154</v>
      </c>
      <c r="L27" s="25" t="s">
        <v>155</v>
      </c>
    </row>
    <row r="28" spans="1:12" ht="48" customHeight="1">
      <c r="A28" s="19">
        <v>13</v>
      </c>
      <c r="B28" s="7" t="s">
        <v>38</v>
      </c>
      <c r="C28" s="25" t="s">
        <v>156</v>
      </c>
      <c r="D28" s="10" t="s">
        <v>14</v>
      </c>
      <c r="E28" s="13">
        <v>7.99</v>
      </c>
      <c r="F28" s="16">
        <v>32</v>
      </c>
      <c r="G28" s="4" t="s">
        <v>15</v>
      </c>
      <c r="H28" s="25" t="s">
        <v>157</v>
      </c>
      <c r="I28" s="25" t="s">
        <v>158</v>
      </c>
      <c r="J28" s="22">
        <v>1</v>
      </c>
      <c r="K28" s="25" t="s">
        <v>159</v>
      </c>
      <c r="L28" s="25" t="s">
        <v>160</v>
      </c>
    </row>
    <row r="29" spans="1:12" ht="48" customHeight="1">
      <c r="A29" s="19">
        <v>14</v>
      </c>
      <c r="B29" s="7" t="s">
        <v>38</v>
      </c>
      <c r="C29" s="25" t="s">
        <v>161</v>
      </c>
      <c r="D29" s="10" t="s">
        <v>14</v>
      </c>
      <c r="E29" s="13">
        <v>3.39</v>
      </c>
      <c r="F29" s="16">
        <v>28</v>
      </c>
      <c r="G29" s="4" t="s">
        <v>15</v>
      </c>
      <c r="H29" s="25" t="s">
        <v>40</v>
      </c>
      <c r="I29" s="25" t="s">
        <v>41</v>
      </c>
      <c r="J29" s="22">
        <v>0</v>
      </c>
      <c r="K29" s="25" t="s">
        <v>162</v>
      </c>
      <c r="L29" s="25" t="s">
        <v>163</v>
      </c>
    </row>
    <row r="30" spans="1:12" ht="48" customHeight="1">
      <c r="A30" s="19">
        <v>14</v>
      </c>
      <c r="B30" s="7" t="s">
        <v>38</v>
      </c>
      <c r="C30" s="25" t="s">
        <v>164</v>
      </c>
      <c r="D30" s="10" t="s">
        <v>14</v>
      </c>
      <c r="E30" s="13">
        <v>7.49</v>
      </c>
      <c r="F30" s="16">
        <v>32</v>
      </c>
      <c r="G30" s="4" t="s">
        <v>15</v>
      </c>
      <c r="H30" s="25" t="s">
        <v>165</v>
      </c>
      <c r="I30" s="25" t="s">
        <v>166</v>
      </c>
      <c r="J30" s="22">
        <v>1</v>
      </c>
      <c r="K30" s="25" t="s">
        <v>167</v>
      </c>
      <c r="L30" s="25" t="s">
        <v>168</v>
      </c>
    </row>
    <row r="31" spans="1:12" ht="48" customHeight="1">
      <c r="A31" s="19">
        <v>15</v>
      </c>
      <c r="B31" s="7" t="s">
        <v>89</v>
      </c>
      <c r="C31" s="25" t="s">
        <v>169</v>
      </c>
      <c r="D31" s="10" t="s">
        <v>61</v>
      </c>
      <c r="E31" s="13">
        <v>4.9400000000000004</v>
      </c>
      <c r="F31" s="16">
        <v>16</v>
      </c>
      <c r="G31" s="4" t="s">
        <v>15</v>
      </c>
      <c r="H31" s="25" t="s">
        <v>170</v>
      </c>
      <c r="I31" s="25" t="s">
        <v>171</v>
      </c>
      <c r="J31" s="22">
        <v>0</v>
      </c>
      <c r="K31" s="25" t="s">
        <v>172</v>
      </c>
      <c r="L31" s="25" t="s">
        <v>173</v>
      </c>
    </row>
    <row r="32" spans="1:12" ht="48" customHeight="1">
      <c r="A32" s="19">
        <v>15</v>
      </c>
      <c r="B32" s="7" t="s">
        <v>89</v>
      </c>
      <c r="C32" s="25" t="s">
        <v>174</v>
      </c>
      <c r="D32" s="10" t="s">
        <v>61</v>
      </c>
      <c r="E32" s="13">
        <v>3.94</v>
      </c>
      <c r="F32" s="16">
        <v>16</v>
      </c>
      <c r="G32" s="4" t="s">
        <v>15</v>
      </c>
      <c r="H32" s="25" t="s">
        <v>175</v>
      </c>
      <c r="I32" s="25" t="s">
        <v>176</v>
      </c>
      <c r="J32" s="22">
        <v>1</v>
      </c>
      <c r="K32" s="25" t="s">
        <v>177</v>
      </c>
      <c r="L32" s="25" t="s">
        <v>178</v>
      </c>
    </row>
    <row r="33" spans="1:12" ht="48" customHeight="1">
      <c r="A33" s="19">
        <v>16</v>
      </c>
      <c r="B33" s="7" t="s">
        <v>179</v>
      </c>
      <c r="C33" s="25" t="s">
        <v>180</v>
      </c>
      <c r="D33" s="10" t="s">
        <v>14</v>
      </c>
      <c r="E33" s="13">
        <v>16.989999999999998</v>
      </c>
      <c r="F33" s="16">
        <v>1.4</v>
      </c>
      <c r="G33" s="4" t="s">
        <v>33</v>
      </c>
      <c r="H33" s="25" t="s">
        <v>181</v>
      </c>
      <c r="I33" s="25" t="s">
        <v>182</v>
      </c>
      <c r="J33" s="22">
        <v>0</v>
      </c>
      <c r="K33" s="25" t="s">
        <v>183</v>
      </c>
      <c r="L33" s="25" t="s">
        <v>184</v>
      </c>
    </row>
    <row r="34" spans="1:12" ht="48" customHeight="1">
      <c r="A34" s="19">
        <v>16</v>
      </c>
      <c r="B34" s="7" t="s">
        <v>179</v>
      </c>
      <c r="C34" s="25" t="s">
        <v>185</v>
      </c>
      <c r="D34" s="10" t="s">
        <v>14</v>
      </c>
      <c r="E34" s="13">
        <v>7.99</v>
      </c>
      <c r="F34" s="16">
        <v>1.4</v>
      </c>
      <c r="G34" s="4" t="s">
        <v>33</v>
      </c>
      <c r="H34" s="25" t="s">
        <v>186</v>
      </c>
      <c r="I34" s="25" t="s">
        <v>187</v>
      </c>
      <c r="J34" s="22">
        <v>1</v>
      </c>
      <c r="K34" s="25" t="s">
        <v>188</v>
      </c>
      <c r="L34" s="25" t="s">
        <v>189</v>
      </c>
    </row>
    <row r="35" spans="1:12" ht="48" customHeight="1">
      <c r="A35" s="19">
        <v>17</v>
      </c>
      <c r="B35" s="7" t="s">
        <v>190</v>
      </c>
      <c r="C35" s="25" t="s">
        <v>191</v>
      </c>
      <c r="D35" s="10" t="s">
        <v>14</v>
      </c>
      <c r="E35" s="13">
        <v>16.989999999999998</v>
      </c>
      <c r="F35" s="16">
        <v>18</v>
      </c>
      <c r="G35" s="4" t="s">
        <v>15</v>
      </c>
      <c r="H35" s="25" t="s">
        <v>81</v>
      </c>
      <c r="I35" s="25" t="s">
        <v>82</v>
      </c>
      <c r="J35" s="22">
        <v>0</v>
      </c>
      <c r="K35" s="25" t="s">
        <v>192</v>
      </c>
      <c r="L35" s="25" t="s">
        <v>43</v>
      </c>
    </row>
    <row r="36" spans="1:12" ht="48" customHeight="1">
      <c r="A36" s="19">
        <v>17</v>
      </c>
      <c r="B36" s="7" t="s">
        <v>190</v>
      </c>
      <c r="C36" s="25" t="s">
        <v>193</v>
      </c>
      <c r="D36" s="10" t="s">
        <v>14</v>
      </c>
      <c r="E36" s="13">
        <v>25.99</v>
      </c>
      <c r="F36" s="16">
        <v>32</v>
      </c>
      <c r="G36" s="4" t="s">
        <v>15</v>
      </c>
      <c r="H36" s="25" t="s">
        <v>194</v>
      </c>
      <c r="I36" s="25" t="s">
        <v>195</v>
      </c>
      <c r="J36" s="22">
        <v>1</v>
      </c>
      <c r="K36" s="25" t="s">
        <v>196</v>
      </c>
      <c r="L36" s="25" t="s">
        <v>197</v>
      </c>
    </row>
    <row r="37" spans="1:12" ht="48" customHeight="1">
      <c r="A37" s="19">
        <v>18</v>
      </c>
      <c r="B37" s="7" t="s">
        <v>49</v>
      </c>
      <c r="C37" s="25" t="s">
        <v>198</v>
      </c>
      <c r="D37" s="10" t="s">
        <v>14</v>
      </c>
      <c r="E37" s="13">
        <v>8.89</v>
      </c>
      <c r="F37" s="16">
        <v>12</v>
      </c>
      <c r="G37" s="4" t="s">
        <v>15</v>
      </c>
      <c r="H37" s="25" t="s">
        <v>51</v>
      </c>
      <c r="I37" s="25" t="s">
        <v>52</v>
      </c>
      <c r="J37" s="22">
        <v>0</v>
      </c>
      <c r="K37" s="25" t="s">
        <v>199</v>
      </c>
      <c r="L37" s="25" t="s">
        <v>54</v>
      </c>
    </row>
    <row r="38" spans="1:12" ht="48" customHeight="1">
      <c r="A38" s="19">
        <v>18</v>
      </c>
      <c r="B38" s="7" t="s">
        <v>49</v>
      </c>
      <c r="C38" s="25" t="s">
        <v>200</v>
      </c>
      <c r="D38" s="10" t="s">
        <v>14</v>
      </c>
      <c r="E38" s="13">
        <v>2.69</v>
      </c>
      <c r="F38" s="16">
        <v>20</v>
      </c>
      <c r="G38" s="4" t="s">
        <v>15</v>
      </c>
      <c r="H38" s="25" t="s">
        <v>56</v>
      </c>
      <c r="I38" s="25" t="s">
        <v>57</v>
      </c>
      <c r="J38" s="22">
        <v>0</v>
      </c>
      <c r="K38" s="25" t="s">
        <v>201</v>
      </c>
      <c r="L38" s="25" t="s">
        <v>202</v>
      </c>
    </row>
    <row r="39" spans="1:12" ht="48" customHeight="1">
      <c r="A39" s="19">
        <v>19</v>
      </c>
      <c r="B39" s="7" t="s">
        <v>49</v>
      </c>
      <c r="C39" s="25" t="s">
        <v>203</v>
      </c>
      <c r="D39" s="10" t="s">
        <v>14</v>
      </c>
      <c r="E39" s="13">
        <v>7.99</v>
      </c>
      <c r="F39" s="16">
        <v>11.15</v>
      </c>
      <c r="G39" s="4" t="s">
        <v>15</v>
      </c>
      <c r="H39" s="25" t="s">
        <v>204</v>
      </c>
      <c r="I39" s="25" t="s">
        <v>205</v>
      </c>
      <c r="J39" s="22">
        <v>0</v>
      </c>
      <c r="K39" s="25" t="s">
        <v>206</v>
      </c>
      <c r="L39" s="25" t="s">
        <v>207</v>
      </c>
    </row>
    <row r="40" spans="1:12" ht="48" customHeight="1">
      <c r="A40" s="19">
        <v>19</v>
      </c>
      <c r="B40" s="7" t="s">
        <v>49</v>
      </c>
      <c r="C40" s="25" t="s">
        <v>208</v>
      </c>
      <c r="D40" s="10" t="s">
        <v>14</v>
      </c>
      <c r="E40" s="13">
        <v>14.79</v>
      </c>
      <c r="F40" s="16">
        <v>16.899999999999999</v>
      </c>
      <c r="G40" s="4" t="s">
        <v>15</v>
      </c>
      <c r="H40" s="25" t="s">
        <v>51</v>
      </c>
      <c r="I40" s="25" t="s">
        <v>116</v>
      </c>
      <c r="J40" s="22">
        <v>0</v>
      </c>
      <c r="K40" s="25" t="s">
        <v>209</v>
      </c>
      <c r="L40" s="25" t="s">
        <v>210</v>
      </c>
    </row>
    <row r="41" spans="1:12" ht="48" customHeight="1">
      <c r="A41" s="19">
        <v>19</v>
      </c>
      <c r="B41" s="7" t="s">
        <v>49</v>
      </c>
      <c r="C41" s="25" t="s">
        <v>211</v>
      </c>
      <c r="D41" s="10" t="s">
        <v>14</v>
      </c>
      <c r="E41" s="13">
        <v>13.19</v>
      </c>
      <c r="F41" s="16">
        <v>16.899999999999999</v>
      </c>
      <c r="G41" s="4" t="s">
        <v>15</v>
      </c>
      <c r="H41" s="25" t="s">
        <v>204</v>
      </c>
      <c r="I41" s="25" t="s">
        <v>63</v>
      </c>
      <c r="J41" s="22">
        <v>0</v>
      </c>
      <c r="K41" s="25" t="s">
        <v>212</v>
      </c>
      <c r="L41" s="25" t="s">
        <v>213</v>
      </c>
    </row>
    <row r="42" spans="1:12" ht="48" customHeight="1">
      <c r="A42" s="19">
        <v>20</v>
      </c>
      <c r="B42" s="7" t="s">
        <v>38</v>
      </c>
      <c r="C42" s="25" t="s">
        <v>39</v>
      </c>
      <c r="D42" s="10" t="s">
        <v>14</v>
      </c>
      <c r="E42" s="13">
        <v>3.99</v>
      </c>
      <c r="F42" s="16">
        <v>26</v>
      </c>
      <c r="G42" s="4" t="s">
        <v>15</v>
      </c>
      <c r="H42" s="25" t="s">
        <v>40</v>
      </c>
      <c r="I42" s="25" t="s">
        <v>41</v>
      </c>
      <c r="J42" s="22">
        <v>0</v>
      </c>
      <c r="K42" s="25" t="s">
        <v>42</v>
      </c>
      <c r="L42" s="25" t="s">
        <v>214</v>
      </c>
    </row>
    <row r="43" spans="1:12" ht="48" customHeight="1">
      <c r="A43" s="20">
        <v>20</v>
      </c>
      <c r="B43" s="8" t="s">
        <v>38</v>
      </c>
      <c r="C43" s="26" t="s">
        <v>215</v>
      </c>
      <c r="D43" s="11" t="s">
        <v>107</v>
      </c>
      <c r="E43" s="14">
        <v>24</v>
      </c>
      <c r="F43" s="17">
        <v>24</v>
      </c>
      <c r="G43" s="5" t="s">
        <v>216</v>
      </c>
      <c r="H43" s="26" t="s">
        <v>217</v>
      </c>
      <c r="I43" s="26" t="s">
        <v>218</v>
      </c>
      <c r="J43" s="23">
        <v>1</v>
      </c>
      <c r="K43" s="26" t="s">
        <v>219</v>
      </c>
      <c r="L43" s="26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showGridLines="0" workbookViewId="0"/>
  </sheetViews>
  <sheetFormatPr defaultRowHeight="15"/>
  <cols>
    <col min="1" max="1" width="18.375" customWidth="1"/>
    <col min="2" max="2" width="38.875" customWidth="1"/>
    <col min="3" max="3" width="15" customWidth="1"/>
    <col min="4" max="4" width="18.375" customWidth="1"/>
    <col min="5" max="5" width="27.75" customWidth="1"/>
    <col min="6" max="6" width="28.875" customWidth="1"/>
  </cols>
  <sheetData>
    <row r="1" spans="1:6" ht="36" customHeight="1">
      <c r="A1" s="42" t="s">
        <v>221</v>
      </c>
      <c r="B1" s="42"/>
      <c r="C1" s="42"/>
      <c r="D1" s="42"/>
      <c r="E1" s="42"/>
      <c r="F1" s="42"/>
    </row>
    <row r="2" spans="1:6" ht="24" customHeight="1">
      <c r="A2" s="43" t="s">
        <v>222</v>
      </c>
      <c r="B2" s="43"/>
      <c r="C2" s="43"/>
      <c r="D2" s="43"/>
      <c r="E2" s="43"/>
      <c r="F2" s="43"/>
    </row>
    <row r="3" spans="1:6">
      <c r="A3" s="1"/>
      <c r="B3" s="1"/>
      <c r="C3" s="1"/>
      <c r="D3" s="1"/>
      <c r="E3" s="1"/>
      <c r="F3" s="1"/>
    </row>
    <row r="4" spans="1:6" ht="33.950000000000003" customHeight="1">
      <c r="A4" s="27" t="s">
        <v>223</v>
      </c>
      <c r="B4" s="27" t="s">
        <v>224</v>
      </c>
      <c r="C4" s="1"/>
      <c r="D4" s="32" t="s">
        <v>225</v>
      </c>
      <c r="E4" s="32" t="s">
        <v>226</v>
      </c>
      <c r="F4" s="32" t="s">
        <v>227</v>
      </c>
    </row>
    <row r="5" spans="1:6" ht="42" customHeight="1">
      <c r="A5" s="28" t="s">
        <v>228</v>
      </c>
      <c r="B5" s="30">
        <f>COUNTA(Basket!A2:A43)</f>
        <v>42</v>
      </c>
      <c r="C5" s="1"/>
      <c r="D5" s="33" t="s">
        <v>229</v>
      </c>
      <c r="E5" s="33" t="s">
        <v>230</v>
      </c>
      <c r="F5" s="33" t="s">
        <v>231</v>
      </c>
    </row>
    <row r="6" spans="1:6" ht="42" customHeight="1">
      <c r="A6" s="28" t="s">
        <v>232</v>
      </c>
      <c r="B6" s="30">
        <f>MAX(Basket!A2:A43)</f>
        <v>20</v>
      </c>
      <c r="C6" s="1"/>
      <c r="D6" s="34" t="s">
        <v>233</v>
      </c>
      <c r="E6" s="34" t="s">
        <v>234</v>
      </c>
      <c r="F6" s="34" t="s">
        <v>235</v>
      </c>
    </row>
    <row r="7" spans="1:6" ht="42" customHeight="1">
      <c r="A7" s="28" t="s">
        <v>236</v>
      </c>
      <c r="B7" s="30">
        <f>COUNTBLANK(Basket!E2:E43)</f>
        <v>0</v>
      </c>
      <c r="C7" s="1"/>
      <c r="D7" s="34" t="s">
        <v>237</v>
      </c>
      <c r="E7" s="34" t="s">
        <v>238</v>
      </c>
      <c r="F7" s="34" t="s">
        <v>239</v>
      </c>
    </row>
    <row r="8" spans="1:6" ht="42" customHeight="1">
      <c r="A8" s="28" t="s">
        <v>240</v>
      </c>
      <c r="B8" s="30">
        <f>COUNTBLANK(Basket!K2:K43)</f>
        <v>0</v>
      </c>
      <c r="C8" s="1"/>
      <c r="D8" s="34" t="s">
        <v>241</v>
      </c>
      <c r="E8" s="34" t="s">
        <v>242</v>
      </c>
      <c r="F8" s="34" t="s">
        <v>243</v>
      </c>
    </row>
    <row r="9" spans="1:6" ht="50.1" customHeight="1">
      <c r="A9" s="28" t="s">
        <v>244</v>
      </c>
      <c r="B9" s="30">
        <f>SUM(Basket!J2:J43)</f>
        <v>17</v>
      </c>
      <c r="C9" s="1"/>
      <c r="D9" s="34" t="s">
        <v>245</v>
      </c>
      <c r="E9" s="34" t="s">
        <v>246</v>
      </c>
      <c r="F9" s="34" t="s">
        <v>247</v>
      </c>
    </row>
    <row r="10" spans="1:6" ht="42" customHeight="1">
      <c r="A10" s="28" t="s">
        <v>248</v>
      </c>
      <c r="B10" s="30">
        <f>COUNTA(_xlfn.UNIQUE(Basket!D2:D43))</f>
        <v>3</v>
      </c>
      <c r="C10" s="1"/>
      <c r="D10" s="35" t="s">
        <v>249</v>
      </c>
      <c r="E10" s="35" t="s">
        <v>250</v>
      </c>
      <c r="F10" s="35" t="s">
        <v>251</v>
      </c>
    </row>
    <row r="11" spans="1:6" ht="54" customHeight="1">
      <c r="A11" s="29" t="s">
        <v>252</v>
      </c>
      <c r="B11" s="31" t="s">
        <v>253</v>
      </c>
      <c r="C11" s="1"/>
      <c r="D11" s="1"/>
      <c r="E11" s="1"/>
      <c r="F11" s="1"/>
    </row>
    <row r="12" spans="1:6" ht="33.950000000000003" customHeight="1">
      <c r="A12" s="1"/>
      <c r="B12" s="1"/>
      <c r="C12" s="1"/>
      <c r="D12" s="1"/>
      <c r="E12" s="1"/>
      <c r="F12" s="1"/>
    </row>
    <row r="13" spans="1:6" ht="33.950000000000003" customHeight="1">
      <c r="A13" s="44" t="s">
        <v>254</v>
      </c>
      <c r="B13" s="44"/>
      <c r="C13" s="44"/>
      <c r="D13" s="44"/>
      <c r="E13" s="44"/>
      <c r="F13" s="44"/>
    </row>
    <row r="14" spans="1:6" ht="50.1" customHeight="1">
      <c r="A14" s="36" t="s">
        <v>255</v>
      </c>
      <c r="B14" s="36" t="s">
        <v>256</v>
      </c>
      <c r="C14" s="36" t="s">
        <v>257</v>
      </c>
      <c r="D14" s="36" t="s">
        <v>255</v>
      </c>
      <c r="E14" s="36" t="s">
        <v>256</v>
      </c>
      <c r="F14" s="36" t="s">
        <v>257</v>
      </c>
    </row>
    <row r="15" spans="1:6" ht="50.1" customHeight="1">
      <c r="A15" s="37">
        <v>4</v>
      </c>
      <c r="B15" s="25" t="s">
        <v>258</v>
      </c>
      <c r="C15" s="25" t="s">
        <v>259</v>
      </c>
      <c r="D15" s="37">
        <v>8</v>
      </c>
      <c r="E15" s="25" t="s">
        <v>260</v>
      </c>
      <c r="F15" s="25" t="s">
        <v>261</v>
      </c>
    </row>
    <row r="16" spans="1:6" ht="50.1" customHeight="1">
      <c r="A16" s="37">
        <v>5</v>
      </c>
      <c r="B16" s="25" t="s">
        <v>262</v>
      </c>
      <c r="C16" s="25" t="s">
        <v>263</v>
      </c>
      <c r="D16" s="37">
        <v>9</v>
      </c>
      <c r="E16" s="25" t="s">
        <v>264</v>
      </c>
      <c r="F16" s="25" t="s">
        <v>265</v>
      </c>
    </row>
    <row r="17" spans="1:6" ht="50.1" customHeight="1">
      <c r="A17" s="37">
        <v>12</v>
      </c>
      <c r="B17" s="25" t="s">
        <v>266</v>
      </c>
      <c r="C17" s="25" t="s">
        <v>267</v>
      </c>
      <c r="D17" s="37">
        <v>14</v>
      </c>
      <c r="E17" s="25" t="s">
        <v>268</v>
      </c>
      <c r="F17" s="25" t="s">
        <v>269</v>
      </c>
    </row>
    <row r="18" spans="1:6" ht="50.1" customHeight="1">
      <c r="A18" s="37">
        <v>16</v>
      </c>
      <c r="B18" s="25" t="s">
        <v>270</v>
      </c>
      <c r="C18" s="25" t="s">
        <v>271</v>
      </c>
      <c r="D18" s="37">
        <v>19</v>
      </c>
      <c r="E18" s="25" t="s">
        <v>272</v>
      </c>
      <c r="F18" s="25" t="s">
        <v>273</v>
      </c>
    </row>
    <row r="19" spans="1:6" ht="50.1" customHeight="1">
      <c r="A19" s="37">
        <v>18</v>
      </c>
      <c r="B19" s="25" t="s">
        <v>274</v>
      </c>
      <c r="C19" s="25" t="s">
        <v>275</v>
      </c>
      <c r="D19" s="37">
        <v>20</v>
      </c>
      <c r="E19" s="25" t="s">
        <v>276</v>
      </c>
      <c r="F19" s="25" t="s">
        <v>277</v>
      </c>
    </row>
    <row r="20" spans="1:6" ht="50.1" customHeight="1">
      <c r="A20" s="37" t="s">
        <v>278</v>
      </c>
      <c r="B20" s="25" t="s">
        <v>279</v>
      </c>
      <c r="C20" s="25" t="s">
        <v>280</v>
      </c>
      <c r="D20" s="37" t="s">
        <v>278</v>
      </c>
      <c r="E20" s="25" t="s">
        <v>281</v>
      </c>
      <c r="F20" s="25" t="s">
        <v>282</v>
      </c>
    </row>
    <row r="21" spans="1:6" ht="50.1" customHeight="1">
      <c r="A21" s="38" t="s">
        <v>278</v>
      </c>
      <c r="B21" s="26" t="s">
        <v>283</v>
      </c>
      <c r="C21" s="26" t="s">
        <v>284</v>
      </c>
      <c r="D21" s="38" t="s">
        <v>278</v>
      </c>
      <c r="E21" s="26" t="s">
        <v>285</v>
      </c>
      <c r="F21" s="26" t="s">
        <v>286</v>
      </c>
    </row>
    <row r="22" spans="1:6" ht="33.950000000000003" customHeight="1">
      <c r="A22" s="1"/>
      <c r="B22" s="1"/>
      <c r="C22" s="1"/>
      <c r="D22" s="1"/>
      <c r="E22" s="1"/>
      <c r="F22" s="1"/>
    </row>
    <row r="23" spans="1:6" ht="33.950000000000003" customHeight="1">
      <c r="A23" s="32" t="s">
        <v>255</v>
      </c>
      <c r="B23" s="32" t="s">
        <v>287</v>
      </c>
      <c r="C23" s="32" t="s">
        <v>228</v>
      </c>
      <c r="D23" s="32" t="s">
        <v>288</v>
      </c>
      <c r="E23" s="1"/>
      <c r="F23" s="1"/>
    </row>
    <row r="24" spans="1:6" ht="30" customHeight="1">
      <c r="A24" s="39">
        <v>1</v>
      </c>
      <c r="B24" s="3" t="s">
        <v>289</v>
      </c>
      <c r="C24" s="21">
        <f>COUNTIF(Basket!$A$2:$A$43,A24)</f>
        <v>2</v>
      </c>
      <c r="D24" s="21">
        <f>SUMIF(Basket!$A$2:$A$43,A24,Basket!$J$2:$J$43)</f>
        <v>1</v>
      </c>
      <c r="E24" s="1"/>
      <c r="F24" s="1"/>
    </row>
    <row r="25" spans="1:6" ht="30" customHeight="1">
      <c r="A25" s="40">
        <v>2</v>
      </c>
      <c r="B25" s="4" t="s">
        <v>290</v>
      </c>
      <c r="C25" s="22">
        <f>COUNTIF(Basket!$A$2:$A$43,A25)</f>
        <v>2</v>
      </c>
      <c r="D25" s="22">
        <f>SUMIF(Basket!$A$2:$A$43,A25,Basket!$J$2:$J$43)</f>
        <v>1</v>
      </c>
      <c r="E25" s="1"/>
      <c r="F25" s="1"/>
    </row>
    <row r="26" spans="1:6" ht="30" customHeight="1">
      <c r="A26" s="40">
        <v>3</v>
      </c>
      <c r="B26" s="4" t="s">
        <v>291</v>
      </c>
      <c r="C26" s="22">
        <f>COUNTIF(Basket!$A$2:$A$43,A26)</f>
        <v>2</v>
      </c>
      <c r="D26" s="22">
        <f>SUMIF(Basket!$A$2:$A$43,A26,Basket!$J$2:$J$43)</f>
        <v>1</v>
      </c>
      <c r="E26" s="1"/>
      <c r="F26" s="1"/>
    </row>
    <row r="27" spans="1:6" ht="30" customHeight="1">
      <c r="A27" s="40">
        <v>4</v>
      </c>
      <c r="B27" s="4" t="s">
        <v>292</v>
      </c>
      <c r="C27" s="22">
        <f>COUNTIF(Basket!$A$2:$A$43,A27)</f>
        <v>3</v>
      </c>
      <c r="D27" s="22">
        <f>SUMIF(Basket!$A$2:$A$43,A27,Basket!$J$2:$J$43)</f>
        <v>0</v>
      </c>
      <c r="E27" s="1"/>
      <c r="F27" s="1"/>
    </row>
    <row r="28" spans="1:6" ht="30" customHeight="1">
      <c r="A28" s="40">
        <v>5</v>
      </c>
      <c r="B28" s="4" t="s">
        <v>293</v>
      </c>
      <c r="C28" s="22">
        <f>COUNTIF(Basket!$A$2:$A$43,A28)</f>
        <v>2</v>
      </c>
      <c r="D28" s="22">
        <f>SUMIF(Basket!$A$2:$A$43,A28,Basket!$J$2:$J$43)</f>
        <v>1</v>
      </c>
      <c r="E28" s="1"/>
      <c r="F28" s="1"/>
    </row>
    <row r="29" spans="1:6" ht="30" customHeight="1">
      <c r="A29" s="40">
        <v>6</v>
      </c>
      <c r="B29" s="4" t="s">
        <v>294</v>
      </c>
      <c r="C29" s="22">
        <f>COUNTIF(Basket!$A$2:$A$43,A29)</f>
        <v>2</v>
      </c>
      <c r="D29" s="22">
        <f>SUMIF(Basket!$A$2:$A$43,A29,Basket!$J$2:$J$43)</f>
        <v>1</v>
      </c>
      <c r="E29" s="1"/>
      <c r="F29" s="1"/>
    </row>
    <row r="30" spans="1:6" ht="30" customHeight="1">
      <c r="A30" s="40">
        <v>7</v>
      </c>
      <c r="B30" s="4" t="s">
        <v>295</v>
      </c>
      <c r="C30" s="22">
        <f>COUNTIF(Basket!$A$2:$A$43,A30)</f>
        <v>2</v>
      </c>
      <c r="D30" s="22">
        <f>SUMIF(Basket!$A$2:$A$43,A30,Basket!$J$2:$J$43)</f>
        <v>1</v>
      </c>
      <c r="E30" s="1"/>
      <c r="F30" s="1"/>
    </row>
    <row r="31" spans="1:6" ht="30" customHeight="1">
      <c r="A31" s="40">
        <v>8</v>
      </c>
      <c r="B31" s="4" t="s">
        <v>296</v>
      </c>
      <c r="C31" s="22">
        <f>COUNTIF(Basket!$A$2:$A$43,A31)</f>
        <v>2</v>
      </c>
      <c r="D31" s="22">
        <f>SUMIF(Basket!$A$2:$A$43,A31,Basket!$J$2:$J$43)</f>
        <v>1</v>
      </c>
      <c r="E31" s="1"/>
      <c r="F31" s="1"/>
    </row>
    <row r="32" spans="1:6" ht="30" customHeight="1">
      <c r="A32" s="40">
        <v>9</v>
      </c>
      <c r="B32" s="4" t="s">
        <v>297</v>
      </c>
      <c r="C32" s="22">
        <f>COUNTIF(Basket!$A$2:$A$43,A32)</f>
        <v>2</v>
      </c>
      <c r="D32" s="22">
        <f>SUMIF(Basket!$A$2:$A$43,A32,Basket!$J$2:$J$43)</f>
        <v>1</v>
      </c>
      <c r="E32" s="1"/>
      <c r="F32" s="1"/>
    </row>
    <row r="33" spans="1:6" ht="30" customHeight="1">
      <c r="A33" s="40">
        <v>10</v>
      </c>
      <c r="B33" s="4" t="s">
        <v>298</v>
      </c>
      <c r="C33" s="22">
        <f>COUNTIF(Basket!$A$2:$A$43,A33)</f>
        <v>2</v>
      </c>
      <c r="D33" s="22">
        <f>SUMIF(Basket!$A$2:$A$43,A33,Basket!$J$2:$J$43)</f>
        <v>1</v>
      </c>
      <c r="E33" s="1"/>
      <c r="F33" s="1"/>
    </row>
    <row r="34" spans="1:6" ht="30" customHeight="1">
      <c r="A34" s="40">
        <v>11</v>
      </c>
      <c r="B34" s="4" t="s">
        <v>299</v>
      </c>
      <c r="C34" s="22">
        <f>COUNTIF(Basket!$A$2:$A$43,A34)</f>
        <v>2</v>
      </c>
      <c r="D34" s="22">
        <f>SUMIF(Basket!$A$2:$A$43,A34,Basket!$J$2:$J$43)</f>
        <v>1</v>
      </c>
      <c r="E34" s="1"/>
      <c r="F34" s="1"/>
    </row>
    <row r="35" spans="1:6" ht="30" customHeight="1">
      <c r="A35" s="40">
        <v>12</v>
      </c>
      <c r="B35" s="4" t="s">
        <v>300</v>
      </c>
      <c r="C35" s="22">
        <f>COUNTIF(Basket!$A$2:$A$43,A35)</f>
        <v>2</v>
      </c>
      <c r="D35" s="22">
        <f>SUMIF(Basket!$A$2:$A$43,A35,Basket!$J$2:$J$43)</f>
        <v>1</v>
      </c>
      <c r="E35" s="1"/>
      <c r="F35" s="1"/>
    </row>
    <row r="36" spans="1:6" ht="30" customHeight="1">
      <c r="A36" s="40">
        <v>13</v>
      </c>
      <c r="B36" s="4" t="s">
        <v>301</v>
      </c>
      <c r="C36" s="22">
        <f>COUNTIF(Basket!$A$2:$A$43,A36)</f>
        <v>2</v>
      </c>
      <c r="D36" s="22">
        <f>SUMIF(Basket!$A$2:$A$43,A36,Basket!$J$2:$J$43)</f>
        <v>1</v>
      </c>
      <c r="E36" s="1"/>
      <c r="F36" s="1"/>
    </row>
    <row r="37" spans="1:6" ht="30" customHeight="1">
      <c r="A37" s="40">
        <v>14</v>
      </c>
      <c r="B37" s="4" t="s">
        <v>302</v>
      </c>
      <c r="C37" s="22">
        <f>COUNTIF(Basket!$A$2:$A$43,A37)</f>
        <v>2</v>
      </c>
      <c r="D37" s="22">
        <f>SUMIF(Basket!$A$2:$A$43,A37,Basket!$J$2:$J$43)</f>
        <v>1</v>
      </c>
      <c r="E37" s="1"/>
      <c r="F37" s="1"/>
    </row>
    <row r="38" spans="1:6" ht="30" customHeight="1">
      <c r="A38" s="40">
        <v>15</v>
      </c>
      <c r="B38" s="4" t="s">
        <v>303</v>
      </c>
      <c r="C38" s="22">
        <f>COUNTIF(Basket!$A$2:$A$43,A38)</f>
        <v>2</v>
      </c>
      <c r="D38" s="22">
        <f>SUMIF(Basket!$A$2:$A$43,A38,Basket!$J$2:$J$43)</f>
        <v>1</v>
      </c>
      <c r="E38" s="1"/>
      <c r="F38" s="1"/>
    </row>
    <row r="39" spans="1:6" ht="30" customHeight="1">
      <c r="A39" s="40">
        <v>16</v>
      </c>
      <c r="B39" s="4" t="s">
        <v>304</v>
      </c>
      <c r="C39" s="22">
        <f>COUNTIF(Basket!$A$2:$A$43,A39)</f>
        <v>2</v>
      </c>
      <c r="D39" s="22">
        <f>SUMIF(Basket!$A$2:$A$43,A39,Basket!$J$2:$J$43)</f>
        <v>1</v>
      </c>
      <c r="E39" s="1"/>
      <c r="F39" s="1"/>
    </row>
    <row r="40" spans="1:6" ht="30" customHeight="1">
      <c r="A40" s="40">
        <v>17</v>
      </c>
      <c r="B40" s="4" t="s">
        <v>305</v>
      </c>
      <c r="C40" s="22">
        <f>COUNTIF(Basket!$A$2:$A$43,A40)</f>
        <v>2</v>
      </c>
      <c r="D40" s="22">
        <f>SUMIF(Basket!$A$2:$A$43,A40,Basket!$J$2:$J$43)</f>
        <v>1</v>
      </c>
      <c r="E40" s="1"/>
      <c r="F40" s="1"/>
    </row>
    <row r="41" spans="1:6" ht="30" customHeight="1">
      <c r="A41" s="40">
        <v>18</v>
      </c>
      <c r="B41" s="4" t="s">
        <v>306</v>
      </c>
      <c r="C41" s="22">
        <f>COUNTIF(Basket!$A$2:$A$43,A41)</f>
        <v>2</v>
      </c>
      <c r="D41" s="22">
        <f>SUMIF(Basket!$A$2:$A$43,A41,Basket!$J$2:$J$43)</f>
        <v>0</v>
      </c>
      <c r="E41" s="1"/>
      <c r="F41" s="1"/>
    </row>
    <row r="42" spans="1:6" ht="30" customHeight="1">
      <c r="A42" s="40">
        <v>19</v>
      </c>
      <c r="B42" s="4" t="s">
        <v>307</v>
      </c>
      <c r="C42" s="22">
        <f>COUNTIF(Basket!$A$2:$A$43,A42)</f>
        <v>3</v>
      </c>
      <c r="D42" s="22">
        <f>SUMIF(Basket!$A$2:$A$43,A42,Basket!$J$2:$J$43)</f>
        <v>0</v>
      </c>
      <c r="E42" s="1"/>
      <c r="F42" s="1"/>
    </row>
    <row r="43" spans="1:6" ht="30" customHeight="1">
      <c r="A43" s="41">
        <v>20</v>
      </c>
      <c r="B43" s="5" t="s">
        <v>308</v>
      </c>
      <c r="C43" s="23">
        <f>COUNTIF(Basket!$A$2:$A$43,A43)</f>
        <v>2</v>
      </c>
      <c r="D43" s="23">
        <f>SUMIF(Basket!$A$2:$A$43,A43,Basket!$J$2:$J$43)</f>
        <v>1</v>
      </c>
      <c r="E43" s="1"/>
      <c r="F43" s="1"/>
    </row>
  </sheetData>
  <mergeCells count="3">
    <mergeCell ref="A1:F1"/>
    <mergeCell ref="A2:F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2026-07-18T03:13:21Z</dcterms:created>
  <dcterms:modified xsi:type="dcterms:W3CDTF">2026-07-18T03:13:21Z</dcterms:modified>
  <cp:category/>
  <cp:contentStatus/>
</cp:coreProperties>
</file>